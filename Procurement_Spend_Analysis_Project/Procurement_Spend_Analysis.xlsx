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Supplier_Review" sheetId="4" state="visible" r:id="rId4"/>
    <sheet xmlns:r="http://schemas.openxmlformats.org/officeDocument/2006/relationships" name="Category_Summary" sheetId="5" state="visible" r:id="rId5"/>
    <sheet xmlns:r="http://schemas.openxmlformats.org/officeDocument/2006/relationships" name="Monthly_Summary" sheetId="6" state="visible" r:id="rId6"/>
  </sheets>
  <definedNames>
    <definedName name="_xlnm._FilterDatabase" localSheetId="1" hidden="1">'Raw_Data'!$A$1:$M$601</definedName>
    <definedName name="_xlnm._FilterDatabase" localSheetId="2" hidden="1">'Clean_Data'!$A$1:$P$601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$#,##0.00"/>
    <numFmt numFmtId="166" formatCode="0.0%"/>
    <numFmt numFmtId="167" formatCode="yyyy-mm-dd h:mm:ss"/>
    <numFmt numFmtId="168" formatCode="mmm yyyy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666666"/>
    </font>
    <font>
      <b val="1"/>
      <color rgb="0017365D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169" fontId="5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'Category_Summary'!$A$2:$A$10</f>
            </numRef>
          </cat>
          <val>
            <numRef>
              <f>'Category_Summary'!$B$2:$B$10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Spend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'Monthly_Summary'!$A$2:$A$13</f>
            </numRef>
          </cat>
          <val>
            <numRef>
              <f>'Monthly_Summary'!$B$2:$B$13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6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1" customWidth="1" min="3" max="3"/>
    <col width="16" customWidth="1" min="4" max="4"/>
    <col width="23" customWidth="1" min="5" max="5"/>
    <col width="16" customWidth="1" min="6" max="6"/>
    <col width="20" customWidth="1" min="7" max="7"/>
    <col width="16" customWidth="1" min="8" max="8"/>
  </cols>
  <sheetData>
    <row r="1" ht="32" customHeight="1">
      <c r="A1" s="1" t="inlineStr">
        <is>
          <t>PROCUREMENT SPEND ANALYSIS DASHBOARD</t>
        </is>
      </c>
    </row>
    <row r="2">
      <c r="A2" s="2" t="inlineStr">
        <is>
          <t>Sample portfolio project • Synthetic data • 2025</t>
        </is>
      </c>
    </row>
    <row r="3"/>
    <row r="4">
      <c r="A4" s="3" t="inlineStr">
        <is>
          <t>Total Spend (USD)</t>
        </is>
      </c>
      <c r="B4" s="4">
        <f>SUM(Clean_Data!L:L)</f>
        <v/>
      </c>
      <c r="C4" s="3" t="inlineStr">
        <is>
          <t>Transactions</t>
        </is>
      </c>
      <c r="D4" s="5">
        <f>COUNTA(Clean_Data!A:A)-1</f>
        <v/>
      </c>
      <c r="E4" s="3" t="inlineStr">
        <is>
          <t>Suppliers (unique names)</t>
        </is>
      </c>
      <c r="F4" s="5">
        <f>SUMPRODUCT((Clean_Data!N2:N601&lt;&gt;"")/COUNTIF(Clean_Data!N2:N601,Clean_Data!N2:N601&amp;""))</f>
        <v/>
      </c>
      <c r="G4" s="3" t="inlineStr">
        <is>
          <t>Records to Review</t>
        </is>
      </c>
      <c r="H4" s="5">
        <f>COUNTIF(Clean_Data!P:P,"Check Missing/Invalid Data")</f>
        <v/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>
      <c r="A22" s="6" t="inlineStr">
        <is>
          <t>How to use</t>
        </is>
      </c>
    </row>
    <row r="23">
      <c r="A23" s="7" t="inlineStr">
        <is>
          <t>1. Review Raw_Data and Clean_Data. 2. Inspect Supplier_Review for normalized supplier names. 3. Use category/month summaries to discuss trends.</t>
        </is>
      </c>
    </row>
    <row r="24"/>
  </sheetData>
  <mergeCells count="3">
    <mergeCell ref="A23:H2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1" customWidth="1" min="3" max="3"/>
    <col width="16" customWidth="1" min="4" max="4"/>
    <col width="23" customWidth="1" min="5" max="5"/>
    <col width="16" customWidth="1" min="6" max="6"/>
    <col width="20" customWidth="1" min="7" max="7"/>
    <col width="16" customWidth="1" min="8" max="8"/>
  </cols>
  <sheetData>
    <row r="1" ht="28" customHeight="1">
      <c r="A1" s="8" t="inlineStr">
        <is>
          <t>Transaction_ID</t>
        </is>
      </c>
      <c r="B1" s="8" t="inlineStr">
        <is>
          <t>Transaction_Date</t>
        </is>
      </c>
      <c r="C1" s="8" t="inlineStr">
        <is>
          <t>Document_Type</t>
        </is>
      </c>
      <c r="D1" s="8" t="inlineStr">
        <is>
          <t>Supplier_ID</t>
        </is>
      </c>
      <c r="E1" s="8" t="inlineStr">
        <is>
          <t>Supplier_Name</t>
        </is>
      </c>
      <c r="F1" s="8" t="inlineStr">
        <is>
          <t>Category</t>
        </is>
      </c>
      <c r="G1" s="8" t="inlineStr">
        <is>
          <t>Item_Description</t>
        </is>
      </c>
      <c r="H1" s="8" t="inlineStr">
        <is>
          <t>Business_Unit</t>
        </is>
      </c>
      <c r="I1" s="8" t="inlineStr">
        <is>
          <t>Region</t>
        </is>
      </c>
      <c r="J1" s="8" t="inlineStr">
        <is>
          <t>Quantity</t>
        </is>
      </c>
      <c r="K1" s="8" t="inlineStr">
        <is>
          <t>Unit_Price_USD</t>
        </is>
      </c>
      <c r="L1" s="8" t="inlineStr">
        <is>
          <t>Spend_USD</t>
        </is>
      </c>
      <c r="M1" s="8" t="inlineStr">
        <is>
          <t>Payment_Status</t>
        </is>
      </c>
    </row>
    <row r="2">
      <c r="A2" s="7" t="inlineStr">
        <is>
          <t>PO-00181</t>
        </is>
      </c>
      <c r="B2" s="9" t="n">
        <v>45658</v>
      </c>
      <c r="C2" s="7" t="inlineStr">
        <is>
          <t>Goods Receipt</t>
        </is>
      </c>
      <c r="D2" s="7" t="inlineStr">
        <is>
          <t>SUP010</t>
        </is>
      </c>
      <c r="E2" s="7" t="inlineStr">
        <is>
          <t>Urban Energy Solutions</t>
        </is>
      </c>
      <c r="F2" s="7" t="inlineStr">
        <is>
          <t>Utilities</t>
        </is>
      </c>
      <c r="G2" s="7" t="inlineStr">
        <is>
          <t>Natural gas</t>
        </is>
      </c>
      <c r="H2" s="7" t="inlineStr">
        <is>
          <t>Corporate</t>
        </is>
      </c>
      <c r="I2" s="7" t="inlineStr">
        <is>
          <t>East</t>
        </is>
      </c>
      <c r="J2" s="7" t="n">
        <v>24</v>
      </c>
      <c r="K2" s="7" t="n">
        <v>430.14</v>
      </c>
      <c r="L2" s="7" t="n">
        <v>10323.47</v>
      </c>
      <c r="M2" s="7" t="inlineStr">
        <is>
          <t>Paid</t>
        </is>
      </c>
    </row>
    <row r="3">
      <c r="A3" s="7" t="inlineStr">
        <is>
          <t>PO-00580</t>
        </is>
      </c>
      <c r="B3" s="9" t="n">
        <v>45658</v>
      </c>
      <c r="C3" s="7" t="inlineStr">
        <is>
          <t>Purchase Order</t>
        </is>
      </c>
      <c r="D3" s="7" t="inlineStr">
        <is>
          <t>SUP011</t>
        </is>
      </c>
      <c r="E3" s="7" t="inlineStr">
        <is>
          <t>Vertex Marketing</t>
        </is>
      </c>
      <c r="F3" s="7" t="inlineStr">
        <is>
          <t>Marketing</t>
        </is>
      </c>
      <c r="G3" s="7" t="inlineStr">
        <is>
          <t>Promotional materials</t>
        </is>
      </c>
      <c r="H3" s="7" t="inlineStr">
        <is>
          <t>Technology</t>
        </is>
      </c>
      <c r="I3" s="7" t="inlineStr">
        <is>
          <t>South</t>
        </is>
      </c>
      <c r="J3" s="7" t="n">
        <v>114</v>
      </c>
      <c r="K3" s="7" t="n">
        <v>116.12</v>
      </c>
      <c r="L3" s="7" t="n">
        <v>13237.8</v>
      </c>
      <c r="M3" s="7" t="inlineStr">
        <is>
          <t>Pending</t>
        </is>
      </c>
    </row>
    <row r="4">
      <c r="A4" s="7" t="inlineStr">
        <is>
          <t>PO-00324</t>
        </is>
      </c>
      <c r="B4" s="9" t="n">
        <v>45659</v>
      </c>
      <c r="C4" s="7" t="inlineStr">
        <is>
          <t>Goods Receipt</t>
        </is>
      </c>
      <c r="D4" s="7" t="inlineStr">
        <is>
          <t>SUP012</t>
        </is>
      </c>
      <c r="E4" s="7" t="inlineStr">
        <is>
          <t>Pioneer Hardware</t>
        </is>
      </c>
      <c r="F4" s="7" t="inlineStr">
        <is>
          <t>Maintenance</t>
        </is>
      </c>
      <c r="G4" s="7" t="inlineStr">
        <is>
          <t>Tools and supplies</t>
        </is>
      </c>
      <c r="H4" s="7" t="inlineStr">
        <is>
          <t>Technology</t>
        </is>
      </c>
      <c r="I4" s="7" t="inlineStr">
        <is>
          <t>North</t>
        </is>
      </c>
      <c r="J4" s="7" t="n">
        <v>82</v>
      </c>
      <c r="K4" s="7" t="n">
        <v>213.44</v>
      </c>
      <c r="L4" s="7" t="n">
        <v>17502.05</v>
      </c>
      <c r="M4" s="7" t="inlineStr">
        <is>
          <t>Overdue</t>
        </is>
      </c>
    </row>
    <row r="5">
      <c r="A5" s="7" t="inlineStr">
        <is>
          <t>PO-00391</t>
        </is>
      </c>
      <c r="B5" s="9" t="n">
        <v>45659</v>
      </c>
      <c r="C5" s="7" t="inlineStr">
        <is>
          <t>Goods Receipt</t>
        </is>
      </c>
      <c r="D5" s="7" t="inlineStr">
        <is>
          <t>SUP007</t>
        </is>
      </c>
      <c r="E5" s="7" t="inlineStr">
        <is>
          <t>BrightClean Facilities</t>
        </is>
      </c>
      <c r="F5" s="7" t="inlineStr">
        <is>
          <t>Facilities</t>
        </is>
      </c>
      <c r="G5" s="7" t="inlineStr">
        <is>
          <t>Facility maintenance</t>
        </is>
      </c>
      <c r="H5" s="7" t="inlineStr">
        <is>
          <t>Operations</t>
        </is>
      </c>
      <c r="I5" s="7" t="inlineStr">
        <is>
          <t>North</t>
        </is>
      </c>
      <c r="J5" s="7" t="n">
        <v>81</v>
      </c>
      <c r="K5" s="7" t="n">
        <v>183.35</v>
      </c>
      <c r="L5" s="7" t="n">
        <v>14851.28</v>
      </c>
      <c r="M5" s="7" t="inlineStr">
        <is>
          <t>Paid</t>
        </is>
      </c>
    </row>
    <row r="6">
      <c r="A6" s="7" t="inlineStr">
        <is>
          <t>PO-00494</t>
        </is>
      </c>
      <c r="B6" s="9" t="n">
        <v>45660</v>
      </c>
      <c r="C6" s="7" t="inlineStr">
        <is>
          <t>Goods Receipt</t>
        </is>
      </c>
      <c r="D6" s="7" t="inlineStr">
        <is>
          <t>SUP006</t>
        </is>
      </c>
      <c r="E6" s="7" t="inlineStr">
        <is>
          <t>Metro Logistics Pvt Ltd</t>
        </is>
      </c>
      <c r="F6" s="7" t="inlineStr">
        <is>
          <t>Logistics</t>
        </is>
      </c>
      <c r="G6" s="7" t="inlineStr">
        <is>
          <t>Courier services</t>
        </is>
      </c>
      <c r="H6" s="7" t="inlineStr">
        <is>
          <t>Technology</t>
        </is>
      </c>
      <c r="I6" s="7" t="inlineStr">
        <is>
          <t>East</t>
        </is>
      </c>
      <c r="J6" s="7" t="n">
        <v>95</v>
      </c>
      <c r="K6" s="7" t="n">
        <v>73.03</v>
      </c>
      <c r="L6" s="7" t="n">
        <v>6937.5</v>
      </c>
      <c r="M6" s="7" t="inlineStr">
        <is>
          <t>Paid</t>
        </is>
      </c>
    </row>
    <row r="7">
      <c r="A7" s="7" t="inlineStr">
        <is>
          <t>PO-00271</t>
        </is>
      </c>
      <c r="B7" s="9" t="n">
        <v>45661</v>
      </c>
      <c r="C7" s="7" t="inlineStr">
        <is>
          <t>Goods Receipt</t>
        </is>
      </c>
      <c r="D7" s="7" t="inlineStr">
        <is>
          <t>SUP009</t>
        </is>
      </c>
      <c r="E7" s="7" t="inlineStr">
        <is>
          <t>Summit Consulting</t>
        </is>
      </c>
      <c r="F7" s="7" t="inlineStr">
        <is>
          <t>Professional Services</t>
        </is>
      </c>
      <c r="G7" s="7" t="inlineStr">
        <is>
          <t>Training services</t>
        </is>
      </c>
      <c r="H7" s="7" t="inlineStr">
        <is>
          <t>Manufacturing</t>
        </is>
      </c>
      <c r="I7" s="7" t="inlineStr">
        <is>
          <t>East</t>
        </is>
      </c>
      <c r="J7" s="7" t="n">
        <v>68</v>
      </c>
      <c r="K7" s="7" t="n">
        <v>8.300000000000001</v>
      </c>
      <c r="L7" s="7" t="n">
        <v>564.22</v>
      </c>
      <c r="M7" s="7" t="inlineStr">
        <is>
          <t>Paid</t>
        </is>
      </c>
    </row>
    <row r="8">
      <c r="A8" s="7" t="inlineStr">
        <is>
          <t>PO-00354</t>
        </is>
      </c>
      <c r="B8" s="9" t="n">
        <v>45661</v>
      </c>
      <c r="C8" s="7" t="inlineStr">
        <is>
          <t>Goods Receipt</t>
        </is>
      </c>
      <c r="D8" s="7" t="inlineStr">
        <is>
          <t>SUP007</t>
        </is>
      </c>
      <c r="E8" s="7" t="inlineStr">
        <is>
          <t>BrightClean Facilities</t>
        </is>
      </c>
      <c r="F8" s="7" t="inlineStr">
        <is>
          <t>Maintenance</t>
        </is>
      </c>
      <c r="G8" s="7" t="inlineStr">
        <is>
          <t>Repair parts</t>
        </is>
      </c>
      <c r="H8" s="7" t="inlineStr">
        <is>
          <t>Technology</t>
        </is>
      </c>
      <c r="I8" s="7" t="inlineStr">
        <is>
          <t>North</t>
        </is>
      </c>
      <c r="J8" s="7" t="n">
        <v>108</v>
      </c>
      <c r="K8" s="7" t="n">
        <v>58.46</v>
      </c>
      <c r="L8" s="7" t="n">
        <v>6314.06</v>
      </c>
      <c r="M8" s="7" t="inlineStr">
        <is>
          <t>Overdue</t>
        </is>
      </c>
    </row>
    <row r="9">
      <c r="A9" s="7" t="inlineStr">
        <is>
          <t>PO-00061</t>
        </is>
      </c>
      <c r="B9" s="9" t="n">
        <v>45661</v>
      </c>
      <c r="C9" s="7" t="inlineStr">
        <is>
          <t>Invoice</t>
        </is>
      </c>
      <c r="D9" s="7" t="inlineStr">
        <is>
          <t>SUP006</t>
        </is>
      </c>
      <c r="E9" s="7" t="inlineStr">
        <is>
          <t>Metro Logistics Pvt Ltd</t>
        </is>
      </c>
      <c r="F9" s="7" t="inlineStr">
        <is>
          <t>Logistics</t>
        </is>
      </c>
      <c r="G9" s="7" t="inlineStr">
        <is>
          <t>Warehouse handling</t>
        </is>
      </c>
      <c r="H9" s="7" t="inlineStr">
        <is>
          <t>Manufacturing</t>
        </is>
      </c>
      <c r="I9" s="7" t="inlineStr">
        <is>
          <t>South</t>
        </is>
      </c>
      <c r="J9" s="7" t="n">
        <v>115</v>
      </c>
      <c r="K9" s="7" t="n">
        <v>104.85</v>
      </c>
      <c r="L9" s="7" t="n">
        <v>12058.03</v>
      </c>
      <c r="M9" s="7" t="inlineStr">
        <is>
          <t>Pending</t>
        </is>
      </c>
    </row>
    <row r="10">
      <c r="A10" s="7" t="inlineStr">
        <is>
          <t>PO-00506</t>
        </is>
      </c>
      <c r="B10" s="9" t="n">
        <v>45661</v>
      </c>
      <c r="C10" s="7" t="inlineStr">
        <is>
          <t>Purchase Order</t>
        </is>
      </c>
      <c r="D10" s="7" t="inlineStr">
        <is>
          <t>SUP009</t>
        </is>
      </c>
      <c r="E10" s="7" t="inlineStr">
        <is>
          <t>Summit Consulting</t>
        </is>
      </c>
      <c r="F10" s="7" t="inlineStr">
        <is>
          <t>Professional Services</t>
        </is>
      </c>
      <c r="G10" s="7" t="inlineStr">
        <is>
          <t>Audit support</t>
        </is>
      </c>
      <c r="H10" s="7" t="inlineStr">
        <is>
          <t>Technology</t>
        </is>
      </c>
      <c r="I10" s="7" t="inlineStr">
        <is>
          <t>South</t>
        </is>
      </c>
      <c r="J10" s="7" t="n">
        <v>30</v>
      </c>
      <c r="K10" s="7" t="n">
        <v>452.51</v>
      </c>
      <c r="L10" s="7" t="n">
        <v>13575.16</v>
      </c>
      <c r="M10" s="7" t="inlineStr">
        <is>
          <t>Paid</t>
        </is>
      </c>
    </row>
    <row r="11">
      <c r="A11" s="7" t="inlineStr">
        <is>
          <t>PO-00413</t>
        </is>
      </c>
      <c r="B11" s="9" t="n">
        <v>45662</v>
      </c>
      <c r="C11" s="7" t="inlineStr">
        <is>
          <t>Purchase Order</t>
        </is>
      </c>
      <c r="D11" s="7" t="inlineStr">
        <is>
          <t>SUP008</t>
        </is>
      </c>
      <c r="E11" s="7" t="inlineStr">
        <is>
          <t>GreenLeaf Packaging</t>
        </is>
      </c>
      <c r="F11" s="7" t="inlineStr">
        <is>
          <t>Packaging</t>
        </is>
      </c>
      <c r="G11" s="7" t="inlineStr">
        <is>
          <t>Corrugated boxes</t>
        </is>
      </c>
      <c r="H11" s="7" t="inlineStr">
        <is>
          <t>Technology</t>
        </is>
      </c>
      <c r="I11" s="7" t="inlineStr">
        <is>
          <t>East</t>
        </is>
      </c>
      <c r="J11" s="7" t="n">
        <v>77</v>
      </c>
      <c r="K11" s="7" t="n">
        <v>151.88</v>
      </c>
      <c r="L11" s="7" t="n">
        <v>11695</v>
      </c>
      <c r="M11" s="7" t="inlineStr">
        <is>
          <t>Overdue</t>
        </is>
      </c>
    </row>
    <row r="12">
      <c r="A12" s="7" t="inlineStr">
        <is>
          <t>PO-00117</t>
        </is>
      </c>
      <c r="B12" s="9" t="n">
        <v>45662</v>
      </c>
      <c r="C12" s="7" t="inlineStr">
        <is>
          <t>Goods Receipt</t>
        </is>
      </c>
      <c r="D12" s="7" t="inlineStr">
        <is>
          <t>SUP010</t>
        </is>
      </c>
      <c r="E12" s="7" t="inlineStr">
        <is>
          <t>Urban Energy Solutions</t>
        </is>
      </c>
      <c r="F12" s="7" t="inlineStr">
        <is>
          <t>Utilities</t>
        </is>
      </c>
      <c r="G12" s="7" t="inlineStr">
        <is>
          <t>Natural gas</t>
        </is>
      </c>
      <c r="H12" s="7" t="inlineStr">
        <is>
          <t>Sales</t>
        </is>
      </c>
      <c r="I12" s="7" t="inlineStr">
        <is>
          <t>East</t>
        </is>
      </c>
      <c r="J12" s="7" t="n">
        <v>7</v>
      </c>
      <c r="K12" s="7" t="n">
        <v>2005.17</v>
      </c>
      <c r="L12" s="7" t="n">
        <v>14036.21</v>
      </c>
      <c r="M12" s="7" t="inlineStr">
        <is>
          <t>Paid</t>
        </is>
      </c>
    </row>
    <row r="13">
      <c r="A13" s="7" t="inlineStr">
        <is>
          <t>PO-00331</t>
        </is>
      </c>
      <c r="B13" s="9" t="n">
        <v>45662</v>
      </c>
      <c r="C13" s="7" t="inlineStr">
        <is>
          <t>Invoice</t>
        </is>
      </c>
      <c r="D13" s="7" t="inlineStr">
        <is>
          <t>SUP012</t>
        </is>
      </c>
      <c r="E13" s="7" t="inlineStr">
        <is>
          <t>Pioneer Hardware</t>
        </is>
      </c>
      <c r="F13" s="7" t="inlineStr">
        <is>
          <t>Maintenance</t>
        </is>
      </c>
      <c r="G13" s="7" t="inlineStr">
        <is>
          <t>Tools and supplies</t>
        </is>
      </c>
      <c r="H13" s="7" t="inlineStr">
        <is>
          <t>Operations</t>
        </is>
      </c>
      <c r="I13" s="7" t="inlineStr">
        <is>
          <t>West</t>
        </is>
      </c>
      <c r="J13" s="7" t="n">
        <v>111</v>
      </c>
      <c r="K13" s="7" t="n">
        <v>20.51</v>
      </c>
      <c r="L13" s="7" t="n">
        <v>2276.22</v>
      </c>
      <c r="M13" s="7" t="inlineStr">
        <is>
          <t>Paid</t>
        </is>
      </c>
    </row>
    <row r="14">
      <c r="A14" s="7" t="inlineStr">
        <is>
          <t>PO-00384</t>
        </is>
      </c>
      <c r="B14" s="9" t="n">
        <v>45663</v>
      </c>
      <c r="C14" s="7" t="inlineStr">
        <is>
          <t>Invoice</t>
        </is>
      </c>
      <c r="D14" s="7" t="inlineStr">
        <is>
          <t>SUP005</t>
        </is>
      </c>
      <c r="E14" s="7" t="inlineStr">
        <is>
          <t>Metro Logistics</t>
        </is>
      </c>
      <c r="F14" s="7" t="inlineStr">
        <is>
          <t>Logistics</t>
        </is>
      </c>
      <c r="G14" s="7" t="inlineStr">
        <is>
          <t>Freight services</t>
        </is>
      </c>
      <c r="H14" s="7" t="inlineStr">
        <is>
          <t>Corporate</t>
        </is>
      </c>
      <c r="I14" s="7" t="inlineStr">
        <is>
          <t>North</t>
        </is>
      </c>
      <c r="J14" s="7" t="n">
        <v>45</v>
      </c>
      <c r="K14" s="7" t="n">
        <v>472.75</v>
      </c>
      <c r="L14" s="7" t="n">
        <v>21273.78</v>
      </c>
      <c r="M14" s="7" t="inlineStr">
        <is>
          <t>Pending</t>
        </is>
      </c>
    </row>
    <row r="15">
      <c r="A15" s="7" t="inlineStr">
        <is>
          <t>PO-00345</t>
        </is>
      </c>
      <c r="B15" s="9" t="n">
        <v>45663</v>
      </c>
      <c r="C15" s="7" t="inlineStr">
        <is>
          <t>Goods Receipt</t>
        </is>
      </c>
      <c r="D15" s="7" t="inlineStr">
        <is>
          <t>SUP003</t>
        </is>
      </c>
      <c r="E15" s="7" t="inlineStr">
        <is>
          <t>Northstar IT Services</t>
        </is>
      </c>
      <c r="F15" s="7" t="inlineStr">
        <is>
          <t>IT Services</t>
        </is>
      </c>
      <c r="G15" s="7" t="inlineStr">
        <is>
          <t>Cloud services</t>
        </is>
      </c>
      <c r="H15" s="7" t="inlineStr">
        <is>
          <t>Operations</t>
        </is>
      </c>
      <c r="I15" s="7" t="inlineStr">
        <is>
          <t>East</t>
        </is>
      </c>
      <c r="J15" s="7" t="n">
        <v>67</v>
      </c>
      <c r="K15" s="7" t="n">
        <v>160.34</v>
      </c>
      <c r="L15" s="7" t="n">
        <v>10742.45</v>
      </c>
      <c r="M15" s="7" t="inlineStr">
        <is>
          <t>Paid</t>
        </is>
      </c>
    </row>
    <row r="16">
      <c r="A16" s="7" t="inlineStr">
        <is>
          <t>PO-00526</t>
        </is>
      </c>
      <c r="B16" s="9" t="n">
        <v>45663</v>
      </c>
      <c r="C16" s="7" t="inlineStr">
        <is>
          <t>Invoice</t>
        </is>
      </c>
      <c r="D16" s="7" t="inlineStr">
        <is>
          <t>SUP004</t>
        </is>
      </c>
      <c r="E16" s="7" t="inlineStr">
        <is>
          <t>North Star IT Svc</t>
        </is>
      </c>
      <c r="F16" s="7" t="inlineStr">
        <is>
          <t>IT Services</t>
        </is>
      </c>
      <c r="G16" s="7" t="inlineStr">
        <is>
          <t>Software support</t>
        </is>
      </c>
      <c r="H16" s="7" t="inlineStr">
        <is>
          <t>Corporate</t>
        </is>
      </c>
      <c r="I16" s="7" t="inlineStr">
        <is>
          <t>South</t>
        </is>
      </c>
      <c r="J16" s="7" t="n">
        <v>67</v>
      </c>
      <c r="K16" s="7" t="n">
        <v>425.3</v>
      </c>
      <c r="L16" s="7" t="n">
        <v>28495.33</v>
      </c>
      <c r="M16" s="7" t="inlineStr">
        <is>
          <t>Overdue</t>
        </is>
      </c>
    </row>
    <row r="17">
      <c r="A17" s="7" t="inlineStr">
        <is>
          <t>PO-00561</t>
        </is>
      </c>
      <c r="B17" s="9" t="n">
        <v>45663</v>
      </c>
      <c r="C17" s="7" t="inlineStr">
        <is>
          <t>Invoice</t>
        </is>
      </c>
      <c r="D17" s="7" t="inlineStr">
        <is>
          <t>SUP001</t>
        </is>
      </c>
      <c r="E17" s="7" t="inlineStr"/>
      <c r="F17" s="7" t="inlineStr">
        <is>
          <t>Office Supplies</t>
        </is>
      </c>
      <c r="G17" s="7" t="inlineStr">
        <is>
          <t>Pens and stationery</t>
        </is>
      </c>
      <c r="H17" s="7" t="inlineStr">
        <is>
          <t>Sales</t>
        </is>
      </c>
      <c r="I17" s="7" t="inlineStr">
        <is>
          <t>North</t>
        </is>
      </c>
      <c r="J17" s="7" t="n">
        <v>18</v>
      </c>
      <c r="K17" s="7" t="n">
        <v>759.91</v>
      </c>
      <c r="L17" s="7" t="n">
        <v>13678.29</v>
      </c>
      <c r="M17" s="7" t="inlineStr">
        <is>
          <t>Overdue</t>
        </is>
      </c>
    </row>
    <row r="18">
      <c r="A18" s="7" t="inlineStr">
        <is>
          <t>PO-00349</t>
        </is>
      </c>
      <c r="B18" s="9" t="n">
        <v>45664</v>
      </c>
      <c r="C18" s="7" t="inlineStr">
        <is>
          <t>Purchase Order</t>
        </is>
      </c>
      <c r="D18" s="7" t="inlineStr">
        <is>
          <t>SUP004</t>
        </is>
      </c>
      <c r="E18" s="7" t="inlineStr">
        <is>
          <t>North Star IT Svc</t>
        </is>
      </c>
      <c r="F18" s="7" t="inlineStr">
        <is>
          <t>Professional Services</t>
        </is>
      </c>
      <c r="G18" s="7" t="inlineStr">
        <is>
          <t>Business consulting</t>
        </is>
      </c>
      <c r="H18" s="7" t="inlineStr">
        <is>
          <t>Manufacturing</t>
        </is>
      </c>
      <c r="I18" s="7" t="inlineStr">
        <is>
          <t>West</t>
        </is>
      </c>
      <c r="J18" s="7" t="n">
        <v>20</v>
      </c>
      <c r="K18" s="7" t="n">
        <v>592.25</v>
      </c>
      <c r="L18" s="7" t="n">
        <v>11845.04</v>
      </c>
      <c r="M18" s="7" t="inlineStr">
        <is>
          <t>Paid</t>
        </is>
      </c>
    </row>
    <row r="19">
      <c r="A19" s="7" t="inlineStr">
        <is>
          <t>PO-00466</t>
        </is>
      </c>
      <c r="B19" s="9" t="n">
        <v>45664</v>
      </c>
      <c r="C19" s="7" t="inlineStr">
        <is>
          <t>Goods Receipt</t>
        </is>
      </c>
      <c r="D19" s="7" t="inlineStr">
        <is>
          <t>SUP009</t>
        </is>
      </c>
      <c r="E19" s="7" t="inlineStr">
        <is>
          <t>Summit Consulting</t>
        </is>
      </c>
      <c r="F19" s="7" t="inlineStr">
        <is>
          <t>Professional Services</t>
        </is>
      </c>
      <c r="G19" s="7" t="inlineStr">
        <is>
          <t>Business consulting</t>
        </is>
      </c>
      <c r="H19" s="7" t="inlineStr">
        <is>
          <t>Operations</t>
        </is>
      </c>
      <c r="I19" s="7" t="inlineStr">
        <is>
          <t>East</t>
        </is>
      </c>
      <c r="J19" s="7" t="n">
        <v>7</v>
      </c>
      <c r="K19" s="7" t="n">
        <v>1682.99</v>
      </c>
      <c r="L19" s="7" t="n">
        <v>11780.93</v>
      </c>
      <c r="M19" s="7" t="inlineStr">
        <is>
          <t>Paid</t>
        </is>
      </c>
    </row>
    <row r="20">
      <c r="A20" s="7" t="inlineStr">
        <is>
          <t>PO-00100</t>
        </is>
      </c>
      <c r="B20" s="9" t="n">
        <v>45665</v>
      </c>
      <c r="C20" s="7" t="inlineStr">
        <is>
          <t>Purchase Order</t>
        </is>
      </c>
      <c r="D20" s="7" t="inlineStr">
        <is>
          <t>SUP009</t>
        </is>
      </c>
      <c r="E20" s="7" t="inlineStr">
        <is>
          <t>Summit Consulting</t>
        </is>
      </c>
      <c r="F20" s="7" t="inlineStr">
        <is>
          <t>Professional Services</t>
        </is>
      </c>
      <c r="G20" s="7" t="inlineStr">
        <is>
          <t>Training services</t>
        </is>
      </c>
      <c r="H20" s="7" t="inlineStr">
        <is>
          <t>Corporate</t>
        </is>
      </c>
      <c r="I20" s="7" t="inlineStr">
        <is>
          <t>South</t>
        </is>
      </c>
      <c r="J20" s="7" t="n">
        <v>108</v>
      </c>
      <c r="K20" s="7" t="n">
        <v>65.13</v>
      </c>
      <c r="L20" s="7" t="n">
        <v>7034</v>
      </c>
      <c r="M20" s="7" t="inlineStr">
        <is>
          <t>Pending</t>
        </is>
      </c>
    </row>
    <row r="21">
      <c r="A21" s="7" t="inlineStr">
        <is>
          <t>PO-00077</t>
        </is>
      </c>
      <c r="B21" s="9" t="n">
        <v>45666</v>
      </c>
      <c r="C21" s="7" t="inlineStr">
        <is>
          <t>Invoice</t>
        </is>
      </c>
      <c r="D21" s="7" t="inlineStr">
        <is>
          <t>SUP002</t>
        </is>
      </c>
      <c r="E21" s="7" t="inlineStr">
        <is>
          <t>Apex Office Supply Ltd</t>
        </is>
      </c>
      <c r="F21" s="7" t="inlineStr">
        <is>
          <t>Office Supplies</t>
        </is>
      </c>
      <c r="G21" s="7" t="inlineStr">
        <is>
          <t>Toner cartridges</t>
        </is>
      </c>
      <c r="H21" s="7" t="inlineStr">
        <is>
          <t>Manufacturing</t>
        </is>
      </c>
      <c r="I21" s="7" t="inlineStr">
        <is>
          <t>East</t>
        </is>
      </c>
      <c r="J21" s="7" t="n">
        <v>32</v>
      </c>
      <c r="K21" s="7" t="n">
        <v>229.71</v>
      </c>
      <c r="L21" s="7" t="n">
        <v>7350.69</v>
      </c>
      <c r="M21" s="7" t="inlineStr">
        <is>
          <t>Pending</t>
        </is>
      </c>
    </row>
    <row r="22">
      <c r="A22" s="7" t="inlineStr">
        <is>
          <t>PO-00593</t>
        </is>
      </c>
      <c r="B22" s="9" t="n">
        <v>45666</v>
      </c>
      <c r="C22" s="7" t="inlineStr">
        <is>
          <t>Invoice</t>
        </is>
      </c>
      <c r="D22" s="7" t="inlineStr">
        <is>
          <t>SUP009</t>
        </is>
      </c>
      <c r="E22" s="7" t="inlineStr">
        <is>
          <t>Summit Consulting</t>
        </is>
      </c>
      <c r="F22" s="7" t="inlineStr">
        <is>
          <t>Professional Services</t>
        </is>
      </c>
      <c r="G22" s="7" t="inlineStr">
        <is>
          <t>Business consulting</t>
        </is>
      </c>
      <c r="H22" s="7" t="inlineStr">
        <is>
          <t>Operations</t>
        </is>
      </c>
      <c r="I22" s="7" t="inlineStr">
        <is>
          <t>East</t>
        </is>
      </c>
      <c r="J22" s="7" t="n">
        <v>1</v>
      </c>
      <c r="K22" s="7" t="n">
        <v>27266.31</v>
      </c>
      <c r="L22" s="7" t="n">
        <v>27266.31</v>
      </c>
      <c r="M22" s="7" t="inlineStr">
        <is>
          <t>Paid</t>
        </is>
      </c>
    </row>
    <row r="23">
      <c r="A23" s="7" t="inlineStr">
        <is>
          <t>PO-00021</t>
        </is>
      </c>
      <c r="B23" s="9" t="n">
        <v>45668</v>
      </c>
      <c r="C23" s="7" t="inlineStr">
        <is>
          <t>Purchase Order</t>
        </is>
      </c>
      <c r="D23" s="7" t="inlineStr">
        <is>
          <t>SUP010</t>
        </is>
      </c>
      <c r="E23" s="7" t="inlineStr">
        <is>
          <t>Urban Energy Solutions</t>
        </is>
      </c>
      <c r="F23" s="7" t="inlineStr">
        <is>
          <t>Utilities</t>
        </is>
      </c>
      <c r="G23" s="7" t="inlineStr">
        <is>
          <t>Natural gas</t>
        </is>
      </c>
      <c r="H23" s="7" t="inlineStr">
        <is>
          <t>Corporate</t>
        </is>
      </c>
      <c r="I23" s="7" t="inlineStr">
        <is>
          <t>South</t>
        </is>
      </c>
      <c r="J23" s="7" t="n">
        <v>1</v>
      </c>
      <c r="K23" s="7" t="n">
        <v>10641.31</v>
      </c>
      <c r="L23" s="7" t="n">
        <v>10641.31</v>
      </c>
      <c r="M23" s="7" t="inlineStr">
        <is>
          <t>Paid</t>
        </is>
      </c>
    </row>
    <row r="24">
      <c r="A24" s="7" t="inlineStr">
        <is>
          <t>PO-00419</t>
        </is>
      </c>
      <c r="B24" s="9" t="n">
        <v>45671</v>
      </c>
      <c r="C24" s="7" t="inlineStr">
        <is>
          <t>Invoice</t>
        </is>
      </c>
      <c r="D24" s="7" t="inlineStr">
        <is>
          <t>SUP011</t>
        </is>
      </c>
      <c r="E24" s="7" t="inlineStr">
        <is>
          <t>Vertex Marketing</t>
        </is>
      </c>
      <c r="F24" s="7" t="inlineStr">
        <is>
          <t>Marketing</t>
        </is>
      </c>
      <c r="G24" s="7" t="inlineStr">
        <is>
          <t>Print advertising</t>
        </is>
      </c>
      <c r="H24" s="7" t="inlineStr">
        <is>
          <t>Sales</t>
        </is>
      </c>
      <c r="I24" s="7" t="inlineStr">
        <is>
          <t>North</t>
        </is>
      </c>
      <c r="J24" s="7" t="n">
        <v>117</v>
      </c>
      <c r="K24" s="7" t="n">
        <v>46.2</v>
      </c>
      <c r="L24" s="7" t="n">
        <v>5405.41</v>
      </c>
      <c r="M24" s="7" t="inlineStr">
        <is>
          <t>Overdue</t>
        </is>
      </c>
    </row>
    <row r="25">
      <c r="A25" s="7" t="inlineStr">
        <is>
          <t>PO-00176</t>
        </is>
      </c>
      <c r="B25" s="9" t="n">
        <v>45671</v>
      </c>
      <c r="C25" s="7" t="inlineStr">
        <is>
          <t>Purchase Order</t>
        </is>
      </c>
      <c r="D25" s="7" t="inlineStr">
        <is>
          <t>SUP007</t>
        </is>
      </c>
      <c r="E25" s="7" t="inlineStr">
        <is>
          <t>BrightClean Facilities</t>
        </is>
      </c>
      <c r="F25" s="7" t="inlineStr">
        <is>
          <t>Maintenance</t>
        </is>
      </c>
      <c r="G25" s="7" t="inlineStr">
        <is>
          <t>Equipment servicing</t>
        </is>
      </c>
      <c r="H25" s="7" t="inlineStr">
        <is>
          <t>Operations</t>
        </is>
      </c>
      <c r="I25" s="7" t="inlineStr">
        <is>
          <t>North</t>
        </is>
      </c>
      <c r="J25" s="7" t="n">
        <v>50</v>
      </c>
      <c r="K25" s="7" t="n">
        <v>136.13</v>
      </c>
      <c r="L25" s="7" t="n">
        <v>6806.43</v>
      </c>
      <c r="M25" s="7" t="inlineStr">
        <is>
          <t>Pending</t>
        </is>
      </c>
    </row>
    <row r="26">
      <c r="A26" s="7" t="inlineStr">
        <is>
          <t>PO-00022</t>
        </is>
      </c>
      <c r="B26" s="9" t="n">
        <v>45674</v>
      </c>
      <c r="C26" s="7" t="inlineStr">
        <is>
          <t>Invoice</t>
        </is>
      </c>
      <c r="D26" s="7" t="inlineStr">
        <is>
          <t>SUP006</t>
        </is>
      </c>
      <c r="E26" s="7" t="inlineStr">
        <is>
          <t>Metro Logistics Pvt Ltd</t>
        </is>
      </c>
      <c r="F26" s="7" t="inlineStr">
        <is>
          <t>Logistics</t>
        </is>
      </c>
      <c r="G26" s="7" t="inlineStr">
        <is>
          <t>Freight services</t>
        </is>
      </c>
      <c r="H26" s="7" t="inlineStr">
        <is>
          <t>Manufacturing</t>
        </is>
      </c>
      <c r="I26" s="7" t="inlineStr">
        <is>
          <t>South</t>
        </is>
      </c>
      <c r="J26" s="7" t="n">
        <v>86</v>
      </c>
      <c r="K26" s="7" t="n">
        <v>86.48999999999999</v>
      </c>
      <c r="L26" s="7" t="n">
        <v>7438.39</v>
      </c>
      <c r="M26" s="7" t="inlineStr">
        <is>
          <t>Overdue</t>
        </is>
      </c>
    </row>
    <row r="27">
      <c r="A27" s="7" t="inlineStr">
        <is>
          <t>PO-00010</t>
        </is>
      </c>
      <c r="B27" s="9" t="n">
        <v>45674</v>
      </c>
      <c r="C27" s="7" t="inlineStr">
        <is>
          <t>Goods Receipt</t>
        </is>
      </c>
      <c r="D27" s="7" t="inlineStr">
        <is>
          <t>SUP006</t>
        </is>
      </c>
      <c r="E27" s="7" t="inlineStr">
        <is>
          <t>Metro Logistics Pvt Ltd</t>
        </is>
      </c>
      <c r="F27" s="7" t="inlineStr">
        <is>
          <t>Logistics</t>
        </is>
      </c>
      <c r="G27" s="7" t="inlineStr">
        <is>
          <t>Warehouse handling</t>
        </is>
      </c>
      <c r="H27" s="7" t="inlineStr">
        <is>
          <t>Technology</t>
        </is>
      </c>
      <c r="I27" s="7" t="inlineStr">
        <is>
          <t>South</t>
        </is>
      </c>
      <c r="J27" s="7" t="n">
        <v>117</v>
      </c>
      <c r="K27" s="7" t="n">
        <v>18.94</v>
      </c>
      <c r="L27" s="7" t="n">
        <v>2215.87</v>
      </c>
      <c r="M27" s="7" t="inlineStr">
        <is>
          <t>Overdue</t>
        </is>
      </c>
    </row>
    <row r="28">
      <c r="A28" s="7" t="inlineStr">
        <is>
          <t>PO-00382</t>
        </is>
      </c>
      <c r="B28" s="9" t="n">
        <v>45674</v>
      </c>
      <c r="C28" s="7" t="inlineStr">
        <is>
          <t>Purchase Order</t>
        </is>
      </c>
      <c r="D28" s="7" t="inlineStr">
        <is>
          <t>SUP003</t>
        </is>
      </c>
      <c r="E28" s="7" t="inlineStr">
        <is>
          <t>Northstar IT Services</t>
        </is>
      </c>
      <c r="F28" s="7" t="inlineStr">
        <is>
          <t>IT Services</t>
        </is>
      </c>
      <c r="G28" s="7" t="inlineStr">
        <is>
          <t>IT consulting</t>
        </is>
      </c>
      <c r="H28" s="7" t="inlineStr">
        <is>
          <t>Manufacturing</t>
        </is>
      </c>
      <c r="I28" s="7" t="inlineStr">
        <is>
          <t>North</t>
        </is>
      </c>
      <c r="J28" s="7" t="n">
        <v>79</v>
      </c>
      <c r="K28" s="7" t="n">
        <v>356.96</v>
      </c>
      <c r="L28" s="7" t="n">
        <v>28199.88</v>
      </c>
      <c r="M28" s="7" t="inlineStr">
        <is>
          <t>Pending</t>
        </is>
      </c>
    </row>
    <row r="29">
      <c r="A29" s="7" t="inlineStr">
        <is>
          <t>PO-00126</t>
        </is>
      </c>
      <c r="B29" s="9" t="n">
        <v>45677</v>
      </c>
      <c r="C29" s="7" t="inlineStr">
        <is>
          <t>Goods Receipt</t>
        </is>
      </c>
      <c r="D29" s="7" t="inlineStr">
        <is>
          <t>SUP005</t>
        </is>
      </c>
      <c r="E29" s="7" t="inlineStr">
        <is>
          <t>Metro Logistics</t>
        </is>
      </c>
      <c r="F29" s="7" t="inlineStr">
        <is>
          <t>Logistics</t>
        </is>
      </c>
      <c r="G29" s="7" t="inlineStr">
        <is>
          <t>Freight services</t>
        </is>
      </c>
      <c r="H29" s="7" t="inlineStr">
        <is>
          <t>Sales</t>
        </is>
      </c>
      <c r="I29" s="7" t="inlineStr">
        <is>
          <t>West</t>
        </is>
      </c>
      <c r="J29" s="7" t="n">
        <v>31</v>
      </c>
      <c r="K29" s="7" t="n">
        <v>120.44</v>
      </c>
      <c r="L29" s="7" t="n">
        <v>3733.6</v>
      </c>
      <c r="M29" s="7" t="inlineStr">
        <is>
          <t>Pending</t>
        </is>
      </c>
    </row>
    <row r="30">
      <c r="A30" s="7" t="inlineStr">
        <is>
          <t>PO-00472</t>
        </is>
      </c>
      <c r="B30" s="9" t="n">
        <v>45678</v>
      </c>
      <c r="C30" s="7" t="inlineStr">
        <is>
          <t>Goods Receipt</t>
        </is>
      </c>
      <c r="D30" s="7" t="inlineStr">
        <is>
          <t>SUP007</t>
        </is>
      </c>
      <c r="E30" s="7" t="inlineStr">
        <is>
          <t>BrightClean Facilities</t>
        </is>
      </c>
      <c r="F30" s="7" t="inlineStr">
        <is>
          <t>Facilities</t>
        </is>
      </c>
      <c r="G30" s="7" t="inlineStr">
        <is>
          <t>Facility maintenance</t>
        </is>
      </c>
      <c r="H30" s="7" t="inlineStr">
        <is>
          <t>Corporate</t>
        </is>
      </c>
      <c r="I30" s="7" t="inlineStr">
        <is>
          <t>East</t>
        </is>
      </c>
      <c r="J30" s="7" t="n">
        <v>21</v>
      </c>
      <c r="K30" s="7" t="n">
        <v>230.7</v>
      </c>
      <c r="L30" s="7" t="n">
        <v>4844.6</v>
      </c>
      <c r="M30" s="7" t="inlineStr">
        <is>
          <t>Pending</t>
        </is>
      </c>
    </row>
    <row r="31">
      <c r="A31" s="7" t="inlineStr">
        <is>
          <t>PO-00218</t>
        </is>
      </c>
      <c r="B31" s="9" t="n">
        <v>45678</v>
      </c>
      <c r="C31" s="7" t="inlineStr">
        <is>
          <t>Invoice</t>
        </is>
      </c>
      <c r="D31" s="7" t="inlineStr">
        <is>
          <t>SUP001</t>
        </is>
      </c>
      <c r="E31" s="7" t="inlineStr">
        <is>
          <t>Apex Office Supplies</t>
        </is>
      </c>
      <c r="F31" s="7" t="inlineStr">
        <is>
          <t>Professional Services</t>
        </is>
      </c>
      <c r="G31" s="7" t="inlineStr">
        <is>
          <t>Business consulting</t>
        </is>
      </c>
      <c r="H31" s="7" t="inlineStr">
        <is>
          <t>Manufacturing</t>
        </is>
      </c>
      <c r="I31" s="7" t="inlineStr">
        <is>
          <t>South</t>
        </is>
      </c>
      <c r="J31" s="7" t="n">
        <v>67</v>
      </c>
      <c r="K31" s="7" t="n">
        <v>367.78</v>
      </c>
      <c r="L31" s="7" t="n">
        <v>24641.35</v>
      </c>
      <c r="M31" s="7" t="inlineStr">
        <is>
          <t>Pending</t>
        </is>
      </c>
    </row>
    <row r="32">
      <c r="A32" s="7" t="inlineStr">
        <is>
          <t>PO-00572</t>
        </is>
      </c>
      <c r="B32" s="9" t="n">
        <v>45679</v>
      </c>
      <c r="C32" s="7" t="inlineStr">
        <is>
          <t>Invoice</t>
        </is>
      </c>
      <c r="D32" s="7" t="inlineStr">
        <is>
          <t>SUP012</t>
        </is>
      </c>
      <c r="E32" s="7" t="inlineStr">
        <is>
          <t>Pioneer Hardware</t>
        </is>
      </c>
      <c r="F32" s="7" t="inlineStr">
        <is>
          <t>Maintenance</t>
        </is>
      </c>
      <c r="G32" s="7" t="inlineStr">
        <is>
          <t>Tools and supplies</t>
        </is>
      </c>
      <c r="H32" s="7" t="inlineStr">
        <is>
          <t>Technology</t>
        </is>
      </c>
      <c r="I32" s="7" t="inlineStr">
        <is>
          <t>South</t>
        </is>
      </c>
      <c r="J32" s="7" t="n">
        <v>33</v>
      </c>
      <c r="K32" s="7" t="n">
        <v>285.88</v>
      </c>
      <c r="L32" s="7" t="n">
        <v>9434.16</v>
      </c>
      <c r="M32" s="7" t="inlineStr">
        <is>
          <t>Pending</t>
        </is>
      </c>
    </row>
    <row r="33">
      <c r="A33" s="7" t="inlineStr">
        <is>
          <t>PO-00206</t>
        </is>
      </c>
      <c r="B33" s="9" t="n">
        <v>45679</v>
      </c>
      <c r="C33" s="7" t="inlineStr">
        <is>
          <t>Goods Receipt</t>
        </is>
      </c>
      <c r="D33" s="7" t="inlineStr">
        <is>
          <t>SUP001</t>
        </is>
      </c>
      <c r="E33" s="7" t="inlineStr">
        <is>
          <t>Apex Office Supplies</t>
        </is>
      </c>
      <c r="F33" s="7" t="inlineStr">
        <is>
          <t>Office Supplies</t>
        </is>
      </c>
      <c r="G33" s="7" t="inlineStr">
        <is>
          <t>Pens and stationery</t>
        </is>
      </c>
      <c r="H33" s="7" t="inlineStr">
        <is>
          <t>Operations</t>
        </is>
      </c>
      <c r="I33" s="7" t="inlineStr">
        <is>
          <t>West</t>
        </is>
      </c>
      <c r="J33" s="7" t="n">
        <v>99</v>
      </c>
      <c r="K33" s="7" t="n">
        <v>172.53</v>
      </c>
      <c r="L33" s="7" t="n">
        <v>17080.02</v>
      </c>
      <c r="M33" s="7" t="inlineStr">
        <is>
          <t>Overdue</t>
        </is>
      </c>
    </row>
    <row r="34">
      <c r="A34" s="7" t="inlineStr">
        <is>
          <t>PO-00394</t>
        </is>
      </c>
      <c r="B34" s="9" t="n">
        <v>45680</v>
      </c>
      <c r="C34" s="7" t="inlineStr">
        <is>
          <t>Invoice</t>
        </is>
      </c>
      <c r="D34" s="7" t="inlineStr">
        <is>
          <t>SUP005</t>
        </is>
      </c>
      <c r="E34" s="7" t="inlineStr">
        <is>
          <t>Metro Logistics</t>
        </is>
      </c>
      <c r="F34" s="7" t="inlineStr">
        <is>
          <t>Logistics</t>
        </is>
      </c>
      <c r="G34" s="7" t="inlineStr">
        <is>
          <t>Warehouse handling</t>
        </is>
      </c>
      <c r="H34" s="7" t="inlineStr">
        <is>
          <t>Corporate</t>
        </is>
      </c>
      <c r="I34" s="7" t="inlineStr">
        <is>
          <t>South</t>
        </is>
      </c>
      <c r="J34" s="7" t="n">
        <v>108</v>
      </c>
      <c r="K34" s="7" t="n">
        <v>76.02</v>
      </c>
      <c r="L34" s="7" t="n">
        <v>8210.33</v>
      </c>
      <c r="M34" s="7" t="inlineStr">
        <is>
          <t>Overdue</t>
        </is>
      </c>
    </row>
    <row r="35">
      <c r="A35" s="7" t="inlineStr">
        <is>
          <t>PO-00516</t>
        </is>
      </c>
      <c r="B35" s="9" t="n">
        <v>45680</v>
      </c>
      <c r="C35" s="7" t="inlineStr">
        <is>
          <t>Invoice</t>
        </is>
      </c>
      <c r="D35" s="7" t="inlineStr">
        <is>
          <t>SUP012</t>
        </is>
      </c>
      <c r="E35" s="7" t="inlineStr">
        <is>
          <t>Pioneer Hardware</t>
        </is>
      </c>
      <c r="F35" s="7" t="inlineStr">
        <is>
          <t>Maintenance</t>
        </is>
      </c>
      <c r="G35" s="7" t="inlineStr">
        <is>
          <t>Equipment servicing</t>
        </is>
      </c>
      <c r="H35" s="7" t="inlineStr">
        <is>
          <t>Technology</t>
        </is>
      </c>
      <c r="I35" s="7" t="inlineStr">
        <is>
          <t>North</t>
        </is>
      </c>
      <c r="J35" s="7" t="n">
        <v>103</v>
      </c>
      <c r="K35" s="7" t="n">
        <v>41</v>
      </c>
      <c r="L35" s="7" t="n">
        <v>4223.21</v>
      </c>
      <c r="M35" s="7" t="inlineStr">
        <is>
          <t>Pending</t>
        </is>
      </c>
    </row>
    <row r="36">
      <c r="A36" s="7" t="inlineStr">
        <is>
          <t>PO-00509</t>
        </is>
      </c>
      <c r="B36" s="9" t="n">
        <v>45680</v>
      </c>
      <c r="C36" s="7" t="inlineStr">
        <is>
          <t>Goods Receipt</t>
        </is>
      </c>
      <c r="D36" s="7" t="inlineStr">
        <is>
          <t>SUP003</t>
        </is>
      </c>
      <c r="E36" s="7" t="inlineStr">
        <is>
          <t>Northstar IT Services</t>
        </is>
      </c>
      <c r="F36" s="7" t="inlineStr">
        <is>
          <t>IT Services</t>
        </is>
      </c>
      <c r="G36" s="7" t="inlineStr">
        <is>
          <t>Software support</t>
        </is>
      </c>
      <c r="H36" s="7" t="inlineStr">
        <is>
          <t>Manufacturing</t>
        </is>
      </c>
      <c r="I36" s="7" t="inlineStr">
        <is>
          <t>South</t>
        </is>
      </c>
      <c r="J36" s="7" t="n">
        <v>81</v>
      </c>
      <c r="K36" s="7" t="n">
        <v>62.98</v>
      </c>
      <c r="L36" s="7" t="n">
        <v>5101.68</v>
      </c>
      <c r="M36" s="7" t="inlineStr">
        <is>
          <t>Paid</t>
        </is>
      </c>
    </row>
    <row r="37">
      <c r="A37" s="7" t="inlineStr">
        <is>
          <t>PO-00479</t>
        </is>
      </c>
      <c r="B37" s="9" t="n">
        <v>45680</v>
      </c>
      <c r="C37" s="7" t="inlineStr">
        <is>
          <t>Purchase Order</t>
        </is>
      </c>
      <c r="D37" s="7" t="inlineStr">
        <is>
          <t>SUP005</t>
        </is>
      </c>
      <c r="E37" s="7" t="inlineStr">
        <is>
          <t>Metro Logistics</t>
        </is>
      </c>
      <c r="F37" s="7" t="inlineStr">
        <is>
          <t>Logistics</t>
        </is>
      </c>
      <c r="G37" s="7" t="inlineStr">
        <is>
          <t>Freight services</t>
        </is>
      </c>
      <c r="H37" s="7" t="inlineStr">
        <is>
          <t>Operations</t>
        </is>
      </c>
      <c r="I37" s="7" t="inlineStr">
        <is>
          <t>North</t>
        </is>
      </c>
      <c r="J37" s="7" t="n">
        <v>66</v>
      </c>
      <c r="K37" s="7" t="n">
        <v>91.75</v>
      </c>
      <c r="L37" s="7" t="n">
        <v>6055.61</v>
      </c>
      <c r="M37" s="7" t="inlineStr">
        <is>
          <t>Overdue</t>
        </is>
      </c>
    </row>
    <row r="38">
      <c r="A38" s="7" t="inlineStr">
        <is>
          <t>PO-00187</t>
        </is>
      </c>
      <c r="B38" s="9" t="n">
        <v>45682</v>
      </c>
      <c r="C38" s="7" t="inlineStr">
        <is>
          <t>Invoice</t>
        </is>
      </c>
      <c r="D38" s="7" t="inlineStr">
        <is>
          <t>SUP011</t>
        </is>
      </c>
      <c r="E38" s="7" t="inlineStr">
        <is>
          <t>Vertex Marketing</t>
        </is>
      </c>
      <c r="F38" s="7" t="inlineStr">
        <is>
          <t>Marketing</t>
        </is>
      </c>
      <c r="G38" s="7" t="inlineStr">
        <is>
          <t>Print advertising</t>
        </is>
      </c>
      <c r="H38" s="7" t="inlineStr">
        <is>
          <t>Sales</t>
        </is>
      </c>
      <c r="I38" s="7" t="inlineStr">
        <is>
          <t>West</t>
        </is>
      </c>
      <c r="J38" s="7" t="n">
        <v>48</v>
      </c>
      <c r="K38" s="7" t="n">
        <v>48.87</v>
      </c>
      <c r="L38" s="7" t="n">
        <v>2345.61</v>
      </c>
      <c r="M38" s="7" t="inlineStr">
        <is>
          <t>Pending</t>
        </is>
      </c>
    </row>
    <row r="39">
      <c r="A39" s="7" t="inlineStr">
        <is>
          <t>PO-00211</t>
        </is>
      </c>
      <c r="B39" s="9" t="n">
        <v>45683</v>
      </c>
      <c r="C39" s="7" t="inlineStr">
        <is>
          <t>Purchase Order</t>
        </is>
      </c>
      <c r="D39" s="7" t="inlineStr">
        <is>
          <t>SUP005</t>
        </is>
      </c>
      <c r="E39" s="7" t="inlineStr">
        <is>
          <t>Metro Logistics</t>
        </is>
      </c>
      <c r="F39" s="7" t="inlineStr">
        <is>
          <t>Logistics</t>
        </is>
      </c>
      <c r="G39" s="7" t="inlineStr">
        <is>
          <t>Freight services</t>
        </is>
      </c>
      <c r="H39" s="7" t="inlineStr">
        <is>
          <t>Technology</t>
        </is>
      </c>
      <c r="I39" s="7" t="inlineStr">
        <is>
          <t>East</t>
        </is>
      </c>
      <c r="J39" s="7" t="n">
        <v>54</v>
      </c>
      <c r="K39" s="7" t="n">
        <v>490.21</v>
      </c>
      <c r="L39" s="7" t="n">
        <v>26471.12</v>
      </c>
      <c r="M39" s="7" t="inlineStr">
        <is>
          <t>Paid</t>
        </is>
      </c>
    </row>
    <row r="40">
      <c r="A40" s="7" t="inlineStr">
        <is>
          <t>PO-00600</t>
        </is>
      </c>
      <c r="B40" s="9" t="n">
        <v>45683</v>
      </c>
      <c r="C40" s="7" t="inlineStr">
        <is>
          <t>Goods Receipt</t>
        </is>
      </c>
      <c r="D40" s="7" t="inlineStr">
        <is>
          <t>SUP011</t>
        </is>
      </c>
      <c r="E40" s="7" t="inlineStr">
        <is>
          <t>Vertex Marketing</t>
        </is>
      </c>
      <c r="F40" s="7" t="inlineStr">
        <is>
          <t>Marketing</t>
        </is>
      </c>
      <c r="G40" s="7" t="inlineStr">
        <is>
          <t>Promotional materials</t>
        </is>
      </c>
      <c r="H40" s="7" t="inlineStr">
        <is>
          <t>Manufacturing</t>
        </is>
      </c>
      <c r="I40" s="7" t="inlineStr">
        <is>
          <t>North</t>
        </is>
      </c>
      <c r="J40" s="7" t="n">
        <v>58</v>
      </c>
      <c r="K40" s="7" t="n">
        <v>123.19</v>
      </c>
      <c r="L40" s="7" t="n">
        <v>7144.74</v>
      </c>
      <c r="M40" s="7" t="inlineStr">
        <is>
          <t>Paid</t>
        </is>
      </c>
    </row>
    <row r="41">
      <c r="A41" s="7" t="inlineStr">
        <is>
          <t>PO-00573</t>
        </is>
      </c>
      <c r="B41" s="9" t="n">
        <v>45684</v>
      </c>
      <c r="C41" s="7" t="inlineStr">
        <is>
          <t>Invoice</t>
        </is>
      </c>
      <c r="D41" s="7" t="inlineStr">
        <is>
          <t>SUP011</t>
        </is>
      </c>
      <c r="E41" s="7" t="inlineStr">
        <is>
          <t>Vertex Marketing</t>
        </is>
      </c>
      <c r="F41" s="7" t="inlineStr">
        <is>
          <t>Marketing</t>
        </is>
      </c>
      <c r="G41" s="7" t="inlineStr">
        <is>
          <t>Print advertising</t>
        </is>
      </c>
      <c r="H41" s="7" t="inlineStr">
        <is>
          <t>Corporate</t>
        </is>
      </c>
      <c r="I41" s="7" t="inlineStr">
        <is>
          <t>South</t>
        </is>
      </c>
      <c r="J41" s="7" t="n">
        <v>82</v>
      </c>
      <c r="K41" s="7" t="n">
        <v>26.09</v>
      </c>
      <c r="L41" s="7" t="n">
        <v>2139.16</v>
      </c>
      <c r="M41" s="7" t="inlineStr">
        <is>
          <t>Pending</t>
        </is>
      </c>
    </row>
    <row r="42">
      <c r="A42" s="7" t="inlineStr">
        <is>
          <t>PO-00425</t>
        </is>
      </c>
      <c r="B42" s="9" t="n">
        <v>45685</v>
      </c>
      <c r="C42" s="7" t="inlineStr">
        <is>
          <t>Goods Receipt</t>
        </is>
      </c>
      <c r="D42" s="7" t="inlineStr">
        <is>
          <t>SUP003</t>
        </is>
      </c>
      <c r="E42" s="7" t="inlineStr">
        <is>
          <t>Northstar IT Services</t>
        </is>
      </c>
      <c r="F42" s="7" t="inlineStr">
        <is>
          <t>IT Services</t>
        </is>
      </c>
      <c r="G42" s="7" t="inlineStr">
        <is>
          <t>Cloud services</t>
        </is>
      </c>
      <c r="H42" s="7" t="inlineStr">
        <is>
          <t>Operations</t>
        </is>
      </c>
      <c r="I42" s="7" t="inlineStr">
        <is>
          <t>East</t>
        </is>
      </c>
      <c r="J42" s="7" t="n">
        <v>53</v>
      </c>
      <c r="K42" s="7" t="n">
        <v>118.72</v>
      </c>
      <c r="L42" s="7" t="n">
        <v>6292.22</v>
      </c>
      <c r="M42" s="7" t="inlineStr">
        <is>
          <t>Overdue</t>
        </is>
      </c>
    </row>
    <row r="43">
      <c r="A43" s="7" t="inlineStr">
        <is>
          <t>PO-00470</t>
        </is>
      </c>
      <c r="B43" s="9" t="n">
        <v>45685</v>
      </c>
      <c r="C43" s="7" t="inlineStr">
        <is>
          <t>Invoice</t>
        </is>
      </c>
      <c r="D43" s="7" t="inlineStr">
        <is>
          <t>SUP001</t>
        </is>
      </c>
      <c r="E43" s="7" t="inlineStr">
        <is>
          <t>Apex Office Supplies</t>
        </is>
      </c>
      <c r="F43" s="7" t="inlineStr">
        <is>
          <t>Office Supplies</t>
        </is>
      </c>
      <c r="G43" s="7" t="inlineStr">
        <is>
          <t>Printer paper</t>
        </is>
      </c>
      <c r="H43" s="7" t="inlineStr">
        <is>
          <t>Technology</t>
        </is>
      </c>
      <c r="I43" s="7" t="inlineStr">
        <is>
          <t>South</t>
        </is>
      </c>
      <c r="J43" s="7" t="n">
        <v>112</v>
      </c>
      <c r="K43" s="7" t="n">
        <v>33.49</v>
      </c>
      <c r="L43" s="7" t="n">
        <v>3751.2</v>
      </c>
      <c r="M43" s="7" t="inlineStr">
        <is>
          <t>Overdue</t>
        </is>
      </c>
    </row>
    <row r="44">
      <c r="A44" s="7" t="inlineStr">
        <is>
          <t>PO-00389</t>
        </is>
      </c>
      <c r="B44" s="9" t="n">
        <v>45685</v>
      </c>
      <c r="C44" s="7" t="inlineStr">
        <is>
          <t>Goods Receipt</t>
        </is>
      </c>
      <c r="D44" s="7" t="inlineStr">
        <is>
          <t>SUP002</t>
        </is>
      </c>
      <c r="E44" s="7" t="inlineStr">
        <is>
          <t>Apex Office Supply Ltd</t>
        </is>
      </c>
      <c r="F44" s="7" t="inlineStr"/>
      <c r="G44" s="7" t="inlineStr">
        <is>
          <t>Toner cartridges</t>
        </is>
      </c>
      <c r="H44" s="7" t="inlineStr">
        <is>
          <t>Manufacturing</t>
        </is>
      </c>
      <c r="I44" s="7" t="inlineStr">
        <is>
          <t>East</t>
        </is>
      </c>
      <c r="J44" s="7" t="n">
        <v>53</v>
      </c>
      <c r="K44" s="7" t="n">
        <v>330.99</v>
      </c>
      <c r="L44" s="7" t="n">
        <v>17542.24</v>
      </c>
      <c r="M44" s="7" t="inlineStr">
        <is>
          <t>Overdue</t>
        </is>
      </c>
    </row>
    <row r="45">
      <c r="A45" s="7" t="inlineStr">
        <is>
          <t>PO-00598</t>
        </is>
      </c>
      <c r="B45" s="9" t="n">
        <v>45686</v>
      </c>
      <c r="C45" s="7" t="inlineStr">
        <is>
          <t>Purchase Order</t>
        </is>
      </c>
      <c r="D45" s="7" t="inlineStr">
        <is>
          <t>SUP006</t>
        </is>
      </c>
      <c r="E45" s="7" t="inlineStr">
        <is>
          <t>Metro Logistics Pvt Ltd</t>
        </is>
      </c>
      <c r="F45" s="7" t="inlineStr">
        <is>
          <t>Logistics</t>
        </is>
      </c>
      <c r="G45" s="7" t="inlineStr">
        <is>
          <t>Freight services</t>
        </is>
      </c>
      <c r="H45" s="7" t="inlineStr">
        <is>
          <t>Manufacturing</t>
        </is>
      </c>
      <c r="I45" s="7" t="inlineStr">
        <is>
          <t>North</t>
        </is>
      </c>
      <c r="J45" s="7" t="n">
        <v>54</v>
      </c>
      <c r="K45" s="7" t="n">
        <v>463.74</v>
      </c>
      <c r="L45" s="7" t="n">
        <v>25041.84</v>
      </c>
      <c r="M45" s="7" t="inlineStr">
        <is>
          <t>Overdue</t>
        </is>
      </c>
    </row>
    <row r="46">
      <c r="A46" s="7" t="inlineStr">
        <is>
          <t>PO-00259</t>
        </is>
      </c>
      <c r="B46" s="9" t="n">
        <v>45687</v>
      </c>
      <c r="C46" s="7" t="inlineStr">
        <is>
          <t>Purchase Order</t>
        </is>
      </c>
      <c r="D46" s="7" t="inlineStr">
        <is>
          <t>SUP009</t>
        </is>
      </c>
      <c r="E46" s="7" t="inlineStr">
        <is>
          <t>Summit Consulting</t>
        </is>
      </c>
      <c r="F46" s="7" t="inlineStr">
        <is>
          <t>Professional Services</t>
        </is>
      </c>
      <c r="G46" s="7" t="inlineStr">
        <is>
          <t>Training services</t>
        </is>
      </c>
      <c r="H46" s="7" t="inlineStr">
        <is>
          <t>Operations</t>
        </is>
      </c>
      <c r="I46" s="7" t="inlineStr">
        <is>
          <t>East</t>
        </is>
      </c>
      <c r="J46" s="7" t="n">
        <v>68</v>
      </c>
      <c r="K46" s="7" t="n">
        <v>189.18</v>
      </c>
      <c r="L46" s="7" t="n">
        <v>12864.17</v>
      </c>
      <c r="M46" s="7" t="inlineStr">
        <is>
          <t>Paid</t>
        </is>
      </c>
    </row>
    <row r="47">
      <c r="A47" s="7" t="inlineStr">
        <is>
          <t>PO-00321</t>
        </is>
      </c>
      <c r="B47" s="9" t="n">
        <v>45688</v>
      </c>
      <c r="C47" s="7" t="inlineStr">
        <is>
          <t>Purchase Order</t>
        </is>
      </c>
      <c r="D47" s="7" t="inlineStr">
        <is>
          <t>SUP005</t>
        </is>
      </c>
      <c r="E47" s="7" t="inlineStr">
        <is>
          <t>Metro Logistics</t>
        </is>
      </c>
      <c r="F47" s="7" t="inlineStr">
        <is>
          <t>Logistics</t>
        </is>
      </c>
      <c r="G47" s="7" t="inlineStr">
        <is>
          <t>Freight services</t>
        </is>
      </c>
      <c r="H47" s="7" t="inlineStr">
        <is>
          <t>Operations</t>
        </is>
      </c>
      <c r="I47" s="7" t="inlineStr">
        <is>
          <t>East</t>
        </is>
      </c>
      <c r="J47" s="7" t="n">
        <v>111</v>
      </c>
      <c r="K47" s="7" t="n">
        <v>36.58</v>
      </c>
      <c r="L47" s="7" t="n">
        <v>4060.89</v>
      </c>
      <c r="M47" s="7" t="inlineStr">
        <is>
          <t>Paid</t>
        </is>
      </c>
    </row>
    <row r="48">
      <c r="A48" s="7" t="inlineStr">
        <is>
          <t>PO-00581</t>
        </is>
      </c>
      <c r="B48" s="9" t="n">
        <v>45690</v>
      </c>
      <c r="C48" s="7" t="inlineStr">
        <is>
          <t>Goods Receipt</t>
        </is>
      </c>
      <c r="D48" s="7" t="inlineStr">
        <is>
          <t>SUP011</t>
        </is>
      </c>
      <c r="E48" s="7" t="inlineStr">
        <is>
          <t>Vertex Marketing</t>
        </is>
      </c>
      <c r="F48" s="7" t="inlineStr">
        <is>
          <t>Marketing</t>
        </is>
      </c>
      <c r="G48" s="7" t="inlineStr">
        <is>
          <t>Promotional materials</t>
        </is>
      </c>
      <c r="H48" s="7" t="inlineStr">
        <is>
          <t>Sales</t>
        </is>
      </c>
      <c r="I48" s="7" t="inlineStr">
        <is>
          <t>South</t>
        </is>
      </c>
      <c r="J48" s="7" t="n">
        <v>25</v>
      </c>
      <c r="K48" s="7" t="n">
        <v>590.58</v>
      </c>
      <c r="L48" s="7" t="n">
        <v>14764.61</v>
      </c>
      <c r="M48" s="7" t="inlineStr">
        <is>
          <t>Overdue</t>
        </is>
      </c>
    </row>
    <row r="49">
      <c r="A49" s="7" t="inlineStr">
        <is>
          <t>PO-00125</t>
        </is>
      </c>
      <c r="B49" s="9" t="n">
        <v>45690</v>
      </c>
      <c r="C49" s="7" t="inlineStr">
        <is>
          <t>Goods Receipt</t>
        </is>
      </c>
      <c r="D49" s="7" t="inlineStr">
        <is>
          <t>SUP011</t>
        </is>
      </c>
      <c r="E49" s="7" t="inlineStr">
        <is>
          <t>Vertex Marketing</t>
        </is>
      </c>
      <c r="F49" s="7" t="inlineStr">
        <is>
          <t>Marketing</t>
        </is>
      </c>
      <c r="G49" s="7" t="inlineStr">
        <is>
          <t>Print advertising</t>
        </is>
      </c>
      <c r="H49" s="7" t="inlineStr">
        <is>
          <t>Corporate</t>
        </is>
      </c>
      <c r="I49" s="7" t="inlineStr">
        <is>
          <t>South</t>
        </is>
      </c>
      <c r="J49" s="7" t="n">
        <v>39</v>
      </c>
      <c r="K49" s="7" t="n">
        <v>420</v>
      </c>
      <c r="L49" s="7" t="n">
        <v>16379.85</v>
      </c>
      <c r="M49" s="7" t="inlineStr">
        <is>
          <t>Paid</t>
        </is>
      </c>
    </row>
    <row r="50">
      <c r="A50" s="7" t="inlineStr">
        <is>
          <t>PO-00480</t>
        </is>
      </c>
      <c r="B50" s="9" t="n">
        <v>45691</v>
      </c>
      <c r="C50" s="7" t="inlineStr">
        <is>
          <t>Goods Receipt</t>
        </is>
      </c>
      <c r="D50" s="7" t="inlineStr">
        <is>
          <t>SUP004</t>
        </is>
      </c>
      <c r="E50" s="7" t="inlineStr">
        <is>
          <t>North Star IT Svc</t>
        </is>
      </c>
      <c r="F50" s="7" t="inlineStr">
        <is>
          <t>IT Services</t>
        </is>
      </c>
      <c r="G50" s="7" t="inlineStr">
        <is>
          <t>Cloud services</t>
        </is>
      </c>
      <c r="H50" s="7" t="inlineStr">
        <is>
          <t>Corporate</t>
        </is>
      </c>
      <c r="I50" s="7" t="inlineStr">
        <is>
          <t>South</t>
        </is>
      </c>
      <c r="J50" s="7" t="n">
        <v>111</v>
      </c>
      <c r="K50" s="7" t="n">
        <v>213.67</v>
      </c>
      <c r="L50" s="7" t="n">
        <v>23717.81</v>
      </c>
      <c r="M50" s="7" t="inlineStr">
        <is>
          <t>Overdue</t>
        </is>
      </c>
    </row>
    <row r="51">
      <c r="A51" s="7" t="inlineStr">
        <is>
          <t>PO-00048</t>
        </is>
      </c>
      <c r="B51" s="9" t="n">
        <v>45693</v>
      </c>
      <c r="C51" s="7" t="inlineStr">
        <is>
          <t>Purchase Order</t>
        </is>
      </c>
      <c r="D51" s="7" t="inlineStr">
        <is>
          <t>SUP011</t>
        </is>
      </c>
      <c r="E51" s="7" t="inlineStr">
        <is>
          <t>Vertex Marketing</t>
        </is>
      </c>
      <c r="F51" s="7" t="inlineStr">
        <is>
          <t>Marketing</t>
        </is>
      </c>
      <c r="G51" s="7" t="inlineStr">
        <is>
          <t>Promotional materials</t>
        </is>
      </c>
      <c r="H51" s="7" t="inlineStr">
        <is>
          <t>Technology</t>
        </is>
      </c>
      <c r="I51" s="7" t="inlineStr">
        <is>
          <t>East</t>
        </is>
      </c>
      <c r="J51" s="7" t="n">
        <v>85</v>
      </c>
      <c r="K51" s="7" t="n">
        <v>132.49</v>
      </c>
      <c r="L51" s="7" t="n">
        <v>11262.02</v>
      </c>
      <c r="M51" s="7" t="inlineStr">
        <is>
          <t>Overdue</t>
        </is>
      </c>
    </row>
    <row r="52">
      <c r="A52" s="7" t="inlineStr">
        <is>
          <t>PO-00084</t>
        </is>
      </c>
      <c r="B52" s="9" t="n">
        <v>45695</v>
      </c>
      <c r="C52" s="7" t="inlineStr">
        <is>
          <t>Goods Receipt</t>
        </is>
      </c>
      <c r="D52" s="7" t="inlineStr">
        <is>
          <t>SUP010</t>
        </is>
      </c>
      <c r="E52" s="7" t="inlineStr">
        <is>
          <t>Urban Energy Solutions</t>
        </is>
      </c>
      <c r="F52" s="7" t="inlineStr">
        <is>
          <t>Utilities</t>
        </is>
      </c>
      <c r="G52" s="7" t="inlineStr">
        <is>
          <t>Water services</t>
        </is>
      </c>
      <c r="H52" s="7" t="inlineStr">
        <is>
          <t>Corporate</t>
        </is>
      </c>
      <c r="I52" s="7" t="inlineStr">
        <is>
          <t>South</t>
        </is>
      </c>
      <c r="J52" s="7" t="n">
        <v>20</v>
      </c>
      <c r="K52" s="7" t="n">
        <v>53.93</v>
      </c>
      <c r="L52" s="7" t="n">
        <v>1078.53</v>
      </c>
      <c r="M52" s="7" t="inlineStr">
        <is>
          <t>Paid</t>
        </is>
      </c>
    </row>
    <row r="53">
      <c r="A53" s="7" t="inlineStr">
        <is>
          <t>PO-00280</t>
        </is>
      </c>
      <c r="B53" s="9" t="n">
        <v>45698</v>
      </c>
      <c r="C53" s="7" t="inlineStr">
        <is>
          <t>Invoice</t>
        </is>
      </c>
      <c r="D53" s="7" t="inlineStr">
        <is>
          <t>SUP009</t>
        </is>
      </c>
      <c r="E53" s="7" t="inlineStr">
        <is>
          <t>Summit Consulting</t>
        </is>
      </c>
      <c r="F53" s="7" t="inlineStr">
        <is>
          <t>Professional Services</t>
        </is>
      </c>
      <c r="G53" s="7" t="inlineStr">
        <is>
          <t>Business consulting</t>
        </is>
      </c>
      <c r="H53" s="7" t="inlineStr">
        <is>
          <t>Corporate</t>
        </is>
      </c>
      <c r="I53" s="7" t="inlineStr">
        <is>
          <t>East</t>
        </is>
      </c>
      <c r="J53" s="7" t="n">
        <v>13</v>
      </c>
      <c r="K53" s="7" t="n">
        <v>824.37</v>
      </c>
      <c r="L53" s="7" t="n">
        <v>10716.75</v>
      </c>
      <c r="M53" s="7" t="inlineStr">
        <is>
          <t>Overdue</t>
        </is>
      </c>
    </row>
    <row r="54">
      <c r="A54" s="7" t="inlineStr">
        <is>
          <t>PO-00229</t>
        </is>
      </c>
      <c r="B54" s="9" t="n">
        <v>45698</v>
      </c>
      <c r="C54" s="7" t="inlineStr">
        <is>
          <t>Invoice</t>
        </is>
      </c>
      <c r="D54" s="7" t="inlineStr">
        <is>
          <t>SUP006</t>
        </is>
      </c>
      <c r="E54" s="7" t="inlineStr">
        <is>
          <t>Metro Logistics Pvt Ltd</t>
        </is>
      </c>
      <c r="F54" s="7" t="inlineStr">
        <is>
          <t>Logistics</t>
        </is>
      </c>
      <c r="G54" s="7" t="inlineStr">
        <is>
          <t>Freight services</t>
        </is>
      </c>
      <c r="H54" s="7" t="inlineStr">
        <is>
          <t>Operations</t>
        </is>
      </c>
      <c r="I54" s="7" t="inlineStr">
        <is>
          <t>East</t>
        </is>
      </c>
      <c r="J54" s="7" t="n">
        <v>96</v>
      </c>
      <c r="K54" s="7" t="n">
        <v>209.82</v>
      </c>
      <c r="L54" s="7" t="n">
        <v>20142.93</v>
      </c>
      <c r="M54" s="7" t="inlineStr">
        <is>
          <t>Overdue</t>
        </is>
      </c>
    </row>
    <row r="55">
      <c r="A55" s="7" t="inlineStr">
        <is>
          <t>PO-00552</t>
        </is>
      </c>
      <c r="B55" s="9" t="n">
        <v>45698</v>
      </c>
      <c r="C55" s="7" t="inlineStr">
        <is>
          <t>Invoice</t>
        </is>
      </c>
      <c r="D55" s="7" t="inlineStr">
        <is>
          <t>SUP003</t>
        </is>
      </c>
      <c r="E55" s="7" t="inlineStr">
        <is>
          <t>Northstar IT Services</t>
        </is>
      </c>
      <c r="F55" s="7" t="inlineStr">
        <is>
          <t>IT Services</t>
        </is>
      </c>
      <c r="G55" s="7" t="inlineStr">
        <is>
          <t>IT consulting</t>
        </is>
      </c>
      <c r="H55" s="7" t="inlineStr">
        <is>
          <t>Technology</t>
        </is>
      </c>
      <c r="I55" s="7" t="inlineStr">
        <is>
          <t>West</t>
        </is>
      </c>
      <c r="J55" s="7" t="n">
        <v>84</v>
      </c>
      <c r="K55" s="7" t="n">
        <v>115.86</v>
      </c>
      <c r="L55" s="7" t="n">
        <v>9732.6</v>
      </c>
      <c r="M55" s="7" t="inlineStr">
        <is>
          <t>Pending</t>
        </is>
      </c>
    </row>
    <row r="56">
      <c r="A56" s="7" t="inlineStr">
        <is>
          <t>PO-00397</t>
        </is>
      </c>
      <c r="B56" s="9" t="n">
        <v>45698</v>
      </c>
      <c r="C56" s="7" t="inlineStr">
        <is>
          <t>Goods Receipt</t>
        </is>
      </c>
      <c r="D56" s="7" t="inlineStr">
        <is>
          <t>SUP007</t>
        </is>
      </c>
      <c r="E56" s="7" t="inlineStr">
        <is>
          <t>BrightClean Facilities</t>
        </is>
      </c>
      <c r="F56" s="7" t="inlineStr">
        <is>
          <t>Facilities</t>
        </is>
      </c>
      <c r="G56" s="7" t="inlineStr">
        <is>
          <t>Security services</t>
        </is>
      </c>
      <c r="H56" s="7" t="inlineStr">
        <is>
          <t>Manufacturing</t>
        </is>
      </c>
      <c r="I56" s="7" t="inlineStr">
        <is>
          <t>South</t>
        </is>
      </c>
      <c r="J56" s="7" t="n">
        <v>65</v>
      </c>
      <c r="K56" s="7" t="n">
        <v>198.34</v>
      </c>
      <c r="L56" s="7" t="n">
        <v>12891.79</v>
      </c>
      <c r="M56" s="7" t="inlineStr">
        <is>
          <t>Paid</t>
        </is>
      </c>
    </row>
    <row r="57">
      <c r="A57" s="7" t="inlineStr">
        <is>
          <t>PO-00137</t>
        </is>
      </c>
      <c r="B57" s="9" t="n">
        <v>45699</v>
      </c>
      <c r="C57" s="7" t="inlineStr">
        <is>
          <t>Goods Receipt</t>
        </is>
      </c>
      <c r="D57" s="7" t="inlineStr">
        <is>
          <t>SUP006</t>
        </is>
      </c>
      <c r="E57" s="7" t="inlineStr">
        <is>
          <t>Metro Logistics Pvt Ltd</t>
        </is>
      </c>
      <c r="F57" s="7" t="inlineStr">
        <is>
          <t>Logistics</t>
        </is>
      </c>
      <c r="G57" s="7" t="inlineStr">
        <is>
          <t>Warehouse handling</t>
        </is>
      </c>
      <c r="H57" s="7" t="inlineStr">
        <is>
          <t>Manufacturing</t>
        </is>
      </c>
      <c r="I57" s="7" t="inlineStr">
        <is>
          <t>East</t>
        </is>
      </c>
      <c r="J57" s="7" t="n">
        <v>36</v>
      </c>
      <c r="K57" s="7" t="n">
        <v>61.12</v>
      </c>
      <c r="L57" s="7" t="n">
        <v>2200.48</v>
      </c>
      <c r="M57" s="7" t="inlineStr">
        <is>
          <t>Pending</t>
        </is>
      </c>
    </row>
    <row r="58">
      <c r="A58" s="7" t="inlineStr">
        <is>
          <t>PO-00032</t>
        </is>
      </c>
      <c r="B58" s="9" t="n">
        <v>45699</v>
      </c>
      <c r="C58" s="7" t="inlineStr">
        <is>
          <t>Invoice</t>
        </is>
      </c>
      <c r="D58" s="7" t="inlineStr">
        <is>
          <t>SUP007</t>
        </is>
      </c>
      <c r="E58" s="7" t="inlineStr">
        <is>
          <t>BrightClean Facilities</t>
        </is>
      </c>
      <c r="F58" s="7" t="inlineStr">
        <is>
          <t>Facilities</t>
        </is>
      </c>
      <c r="G58" s="7" t="inlineStr">
        <is>
          <t>Cleaning services</t>
        </is>
      </c>
      <c r="H58" s="7" t="inlineStr">
        <is>
          <t>Technology</t>
        </is>
      </c>
      <c r="I58" s="7" t="inlineStr">
        <is>
          <t>South</t>
        </is>
      </c>
      <c r="J58" s="7" t="n">
        <v>41</v>
      </c>
      <c r="K58" s="7" t="n">
        <v>249.42</v>
      </c>
      <c r="L58" s="7" t="n">
        <v>10226.26</v>
      </c>
      <c r="M58" s="7" t="inlineStr">
        <is>
          <t>Pending</t>
        </is>
      </c>
    </row>
    <row r="59">
      <c r="A59" s="7" t="inlineStr">
        <is>
          <t>PO-00569</t>
        </is>
      </c>
      <c r="B59" s="9" t="n">
        <v>45699</v>
      </c>
      <c r="C59" s="7" t="inlineStr">
        <is>
          <t>Purchase Order</t>
        </is>
      </c>
      <c r="D59" s="7" t="inlineStr">
        <is>
          <t>SUP003</t>
        </is>
      </c>
      <c r="E59" s="7" t="inlineStr">
        <is>
          <t>Northstar IT Services</t>
        </is>
      </c>
      <c r="F59" s="7" t="inlineStr">
        <is>
          <t>Utilities</t>
        </is>
      </c>
      <c r="G59" s="7" t="inlineStr">
        <is>
          <t>Electricity</t>
        </is>
      </c>
      <c r="H59" s="7" t="inlineStr">
        <is>
          <t>Technology</t>
        </is>
      </c>
      <c r="I59" s="7" t="inlineStr">
        <is>
          <t>West</t>
        </is>
      </c>
      <c r="J59" s="7" t="n">
        <v>61</v>
      </c>
      <c r="K59" s="7" t="n">
        <v>22.89</v>
      </c>
      <c r="L59" s="7" t="n">
        <v>1396.36</v>
      </c>
      <c r="M59" s="7" t="inlineStr">
        <is>
          <t>Paid</t>
        </is>
      </c>
    </row>
    <row r="60">
      <c r="A60" s="7" t="inlineStr">
        <is>
          <t>PO-00314</t>
        </is>
      </c>
      <c r="B60" s="9" t="n">
        <v>45700</v>
      </c>
      <c r="C60" s="7" t="inlineStr">
        <is>
          <t>Purchase Order</t>
        </is>
      </c>
      <c r="D60" s="7" t="inlineStr">
        <is>
          <t>SUP010</t>
        </is>
      </c>
      <c r="E60" s="7" t="inlineStr">
        <is>
          <t>Urban Energy Solutions</t>
        </is>
      </c>
      <c r="F60" s="7" t="inlineStr">
        <is>
          <t>Facilities</t>
        </is>
      </c>
      <c r="G60" s="7" t="inlineStr">
        <is>
          <t>Security services</t>
        </is>
      </c>
      <c r="H60" s="7" t="inlineStr">
        <is>
          <t>Technology</t>
        </is>
      </c>
      <c r="I60" s="7" t="inlineStr">
        <is>
          <t>South</t>
        </is>
      </c>
      <c r="J60" s="7" t="n">
        <v>36</v>
      </c>
      <c r="K60" s="7" t="n">
        <v>148.4</v>
      </c>
      <c r="L60" s="7" t="n">
        <v>5342.57</v>
      </c>
      <c r="M60" s="7" t="inlineStr">
        <is>
          <t>Pending</t>
        </is>
      </c>
    </row>
    <row r="61">
      <c r="A61" s="7" t="inlineStr">
        <is>
          <t>PO-00357</t>
        </is>
      </c>
      <c r="B61" s="9" t="n">
        <v>45701</v>
      </c>
      <c r="C61" s="7" t="inlineStr">
        <is>
          <t>Invoice</t>
        </is>
      </c>
      <c r="D61" s="7" t="inlineStr">
        <is>
          <t>SUP010</t>
        </is>
      </c>
      <c r="E61" s="7" t="inlineStr">
        <is>
          <t>Urban Energy Solutions</t>
        </is>
      </c>
      <c r="F61" s="7" t="inlineStr">
        <is>
          <t>Utilities</t>
        </is>
      </c>
      <c r="G61" s="7" t="inlineStr">
        <is>
          <t>Electricity</t>
        </is>
      </c>
      <c r="H61" s="7" t="inlineStr">
        <is>
          <t>Manufacturing</t>
        </is>
      </c>
      <c r="I61" s="7" t="inlineStr">
        <is>
          <t>North</t>
        </is>
      </c>
      <c r="J61" s="7" t="n">
        <v>105</v>
      </c>
      <c r="K61" s="7" t="n">
        <v>23.88</v>
      </c>
      <c r="L61" s="7" t="n">
        <v>2507.23</v>
      </c>
      <c r="M61" s="7" t="inlineStr">
        <is>
          <t>Pending</t>
        </is>
      </c>
    </row>
    <row r="62">
      <c r="A62" s="7" t="inlineStr">
        <is>
          <t>PO-00575</t>
        </is>
      </c>
      <c r="B62" s="9" t="n">
        <v>45703</v>
      </c>
      <c r="C62" s="7" t="inlineStr">
        <is>
          <t>Invoice</t>
        </is>
      </c>
      <c r="D62" s="7" t="inlineStr">
        <is>
          <t>SUP004</t>
        </is>
      </c>
      <c r="E62" s="7" t="inlineStr">
        <is>
          <t>North Star IT Svc</t>
        </is>
      </c>
      <c r="F62" s="7" t="inlineStr">
        <is>
          <t>IT Services</t>
        </is>
      </c>
      <c r="G62" s="7" t="inlineStr">
        <is>
          <t>IT consulting</t>
        </is>
      </c>
      <c r="H62" s="7" t="inlineStr">
        <is>
          <t>Corporate</t>
        </is>
      </c>
      <c r="I62" s="7" t="inlineStr">
        <is>
          <t>North</t>
        </is>
      </c>
      <c r="J62" s="7" t="n">
        <v>80</v>
      </c>
      <c r="K62" s="7" t="n">
        <v>37.28</v>
      </c>
      <c r="L62" s="7" t="n">
        <v>2982.24</v>
      </c>
      <c r="M62" s="7" t="inlineStr">
        <is>
          <t>Pending</t>
        </is>
      </c>
    </row>
    <row r="63">
      <c r="A63" s="7" t="inlineStr">
        <is>
          <t>PO-00330</t>
        </is>
      </c>
      <c r="B63" s="9" t="n">
        <v>45704</v>
      </c>
      <c r="C63" s="7" t="inlineStr">
        <is>
          <t>Purchase Order</t>
        </is>
      </c>
      <c r="D63" s="7" t="inlineStr">
        <is>
          <t>SUP012</t>
        </is>
      </c>
      <c r="E63" s="7" t="inlineStr">
        <is>
          <t>Pioneer Hardware</t>
        </is>
      </c>
      <c r="F63" s="7" t="inlineStr">
        <is>
          <t>Maintenance</t>
        </is>
      </c>
      <c r="G63" s="7" t="inlineStr">
        <is>
          <t>Tools and supplies</t>
        </is>
      </c>
      <c r="H63" s="7" t="inlineStr">
        <is>
          <t>Operations</t>
        </is>
      </c>
      <c r="I63" s="7" t="inlineStr">
        <is>
          <t>West</t>
        </is>
      </c>
      <c r="J63" s="7" t="n">
        <v>10</v>
      </c>
      <c r="K63" s="7" t="n">
        <v>393.6</v>
      </c>
      <c r="L63" s="7" t="n">
        <v>3935.97</v>
      </c>
      <c r="M63" s="7" t="inlineStr">
        <is>
          <t>Paid</t>
        </is>
      </c>
    </row>
    <row r="64">
      <c r="A64" s="7" t="inlineStr">
        <is>
          <t>PO-00286</t>
        </is>
      </c>
      <c r="B64" s="9" t="n">
        <v>45705</v>
      </c>
      <c r="C64" s="7" t="inlineStr">
        <is>
          <t>Purchase Order</t>
        </is>
      </c>
      <c r="D64" s="7" t="inlineStr">
        <is>
          <t>SUP010</t>
        </is>
      </c>
      <c r="E64" s="7" t="inlineStr">
        <is>
          <t>Urban Energy Solutions</t>
        </is>
      </c>
      <c r="F64" s="7" t="inlineStr">
        <is>
          <t>Utilities</t>
        </is>
      </c>
      <c r="G64" s="7" t="inlineStr">
        <is>
          <t>Water services</t>
        </is>
      </c>
      <c r="H64" s="7" t="inlineStr">
        <is>
          <t>Sales</t>
        </is>
      </c>
      <c r="I64" s="7" t="inlineStr">
        <is>
          <t>West</t>
        </is>
      </c>
      <c r="J64" s="7" t="n">
        <v>50</v>
      </c>
      <c r="K64" s="7" t="n">
        <v>118.42</v>
      </c>
      <c r="L64" s="7" t="n">
        <v>5920.81</v>
      </c>
      <c r="M64" s="7" t="inlineStr">
        <is>
          <t>Paid</t>
        </is>
      </c>
    </row>
    <row r="65">
      <c r="A65" s="7" t="inlineStr">
        <is>
          <t>PO-00038</t>
        </is>
      </c>
      <c r="B65" s="9" t="n">
        <v>45705</v>
      </c>
      <c r="C65" s="7" t="inlineStr">
        <is>
          <t>Invoice</t>
        </is>
      </c>
      <c r="D65" s="7" t="inlineStr">
        <is>
          <t>SUP011</t>
        </is>
      </c>
      <c r="E65" s="7" t="inlineStr">
        <is>
          <t>Vertex Marketing</t>
        </is>
      </c>
      <c r="F65" s="7" t="inlineStr">
        <is>
          <t>Marketing</t>
        </is>
      </c>
      <c r="G65" s="7" t="inlineStr">
        <is>
          <t>Digital campaign</t>
        </is>
      </c>
      <c r="H65" s="7" t="inlineStr">
        <is>
          <t>Technology</t>
        </is>
      </c>
      <c r="I65" s="7" t="inlineStr">
        <is>
          <t>South</t>
        </is>
      </c>
      <c r="J65" s="7" t="n">
        <v>1</v>
      </c>
      <c r="K65" s="7" t="n">
        <v>5067.04</v>
      </c>
      <c r="L65" s="7" t="n">
        <v>5067.04</v>
      </c>
      <c r="M65" s="7" t="inlineStr">
        <is>
          <t>Overdue</t>
        </is>
      </c>
    </row>
    <row r="66">
      <c r="A66" s="7" t="inlineStr">
        <is>
          <t>PO-00571</t>
        </is>
      </c>
      <c r="B66" s="9" t="n">
        <v>45706</v>
      </c>
      <c r="C66" s="7" t="inlineStr">
        <is>
          <t>Goods Receipt</t>
        </is>
      </c>
      <c r="D66" s="7" t="inlineStr">
        <is>
          <t>SUP009</t>
        </is>
      </c>
      <c r="E66" s="7" t="inlineStr">
        <is>
          <t>Summit Consulting</t>
        </is>
      </c>
      <c r="F66" s="7" t="inlineStr">
        <is>
          <t>Professional Services</t>
        </is>
      </c>
      <c r="G66" s="7" t="inlineStr">
        <is>
          <t>Training services</t>
        </is>
      </c>
      <c r="H66" s="7" t="inlineStr">
        <is>
          <t>Technology</t>
        </is>
      </c>
      <c r="I66" s="7" t="inlineStr">
        <is>
          <t>South</t>
        </is>
      </c>
      <c r="J66" s="7" t="n">
        <v>50</v>
      </c>
      <c r="K66" s="7" t="n">
        <v>130.8</v>
      </c>
      <c r="L66" s="7" t="n">
        <v>6539.96</v>
      </c>
      <c r="M66" s="7" t="inlineStr">
        <is>
          <t>Overdue</t>
        </is>
      </c>
    </row>
    <row r="67">
      <c r="A67" s="7" t="inlineStr">
        <is>
          <t>PO-00165</t>
        </is>
      </c>
      <c r="B67" s="9" t="n">
        <v>45706</v>
      </c>
      <c r="C67" s="7" t="inlineStr">
        <is>
          <t>Goods Receipt</t>
        </is>
      </c>
      <c r="D67" s="7" t="inlineStr">
        <is>
          <t>SUP009</t>
        </is>
      </c>
      <c r="E67" s="7" t="inlineStr">
        <is>
          <t>Summit Consulting</t>
        </is>
      </c>
      <c r="F67" s="7" t="inlineStr">
        <is>
          <t>Professional Services</t>
        </is>
      </c>
      <c r="G67" s="7" t="inlineStr">
        <is>
          <t>Audit support</t>
        </is>
      </c>
      <c r="H67" s="7" t="inlineStr">
        <is>
          <t>Operations</t>
        </is>
      </c>
      <c r="I67" s="7" t="inlineStr">
        <is>
          <t>East</t>
        </is>
      </c>
      <c r="J67" s="7" t="n">
        <v>93</v>
      </c>
      <c r="K67" s="7" t="n">
        <v>95.06</v>
      </c>
      <c r="L67" s="7" t="n">
        <v>8840.93</v>
      </c>
      <c r="M67" s="7" t="inlineStr">
        <is>
          <t>Paid</t>
        </is>
      </c>
    </row>
    <row r="68">
      <c r="A68" s="7" t="inlineStr">
        <is>
          <t>PO-00555</t>
        </is>
      </c>
      <c r="B68" s="9" t="n">
        <v>45706</v>
      </c>
      <c r="C68" s="7" t="inlineStr">
        <is>
          <t>Purchase Order</t>
        </is>
      </c>
      <c r="D68" s="7" t="inlineStr">
        <is>
          <t>SUP002</t>
        </is>
      </c>
      <c r="E68" s="7" t="inlineStr">
        <is>
          <t>Apex Office Supply Ltd</t>
        </is>
      </c>
      <c r="F68" s="7" t="inlineStr">
        <is>
          <t>Office Supplies</t>
        </is>
      </c>
      <c r="G68" s="7" t="inlineStr">
        <is>
          <t>Pens and stationery</t>
        </is>
      </c>
      <c r="H68" s="7" t="inlineStr">
        <is>
          <t>Manufacturing</t>
        </is>
      </c>
      <c r="I68" s="7" t="inlineStr">
        <is>
          <t>North</t>
        </is>
      </c>
      <c r="J68" s="7" t="n">
        <v>7</v>
      </c>
      <c r="K68" s="7" t="n">
        <v>1225.79</v>
      </c>
      <c r="L68" s="7" t="n">
        <v>8580.559999999999</v>
      </c>
      <c r="M68" s="7" t="inlineStr">
        <is>
          <t>Paid</t>
        </is>
      </c>
    </row>
    <row r="69">
      <c r="A69" s="7" t="inlineStr">
        <is>
          <t>PO-00217</t>
        </is>
      </c>
      <c r="B69" s="9" t="n">
        <v>45707</v>
      </c>
      <c r="C69" s="7" t="inlineStr">
        <is>
          <t>Invoice</t>
        </is>
      </c>
      <c r="D69" s="7" t="inlineStr">
        <is>
          <t>SUP007</t>
        </is>
      </c>
      <c r="E69" s="7" t="inlineStr">
        <is>
          <t>BrightClean Facilities</t>
        </is>
      </c>
      <c r="F69" s="7" t="inlineStr">
        <is>
          <t>Facilities</t>
        </is>
      </c>
      <c r="G69" s="7" t="inlineStr">
        <is>
          <t>Cleaning services</t>
        </is>
      </c>
      <c r="H69" s="7" t="inlineStr">
        <is>
          <t>Operations</t>
        </is>
      </c>
      <c r="I69" s="7" t="inlineStr">
        <is>
          <t>West</t>
        </is>
      </c>
      <c r="J69" s="7" t="n">
        <v>72</v>
      </c>
      <c r="K69" s="7" t="n">
        <v>246.72</v>
      </c>
      <c r="L69" s="7" t="n">
        <v>17763.76</v>
      </c>
      <c r="M69" s="7" t="inlineStr">
        <is>
          <t>Overdue</t>
        </is>
      </c>
    </row>
    <row r="70">
      <c r="A70" s="7" t="inlineStr">
        <is>
          <t>PO-00514</t>
        </is>
      </c>
      <c r="B70" s="9" t="n">
        <v>45707</v>
      </c>
      <c r="C70" s="7" t="inlineStr">
        <is>
          <t>Goods Receipt</t>
        </is>
      </c>
      <c r="D70" s="7" t="inlineStr">
        <is>
          <t>SUP003</t>
        </is>
      </c>
      <c r="E70" s="7" t="inlineStr">
        <is>
          <t>Northstar IT Services</t>
        </is>
      </c>
      <c r="F70" s="7" t="inlineStr">
        <is>
          <t>IT Services</t>
        </is>
      </c>
      <c r="G70" s="7" t="inlineStr">
        <is>
          <t>IT consulting</t>
        </is>
      </c>
      <c r="H70" s="7" t="inlineStr">
        <is>
          <t>Corporate</t>
        </is>
      </c>
      <c r="I70" s="7" t="inlineStr">
        <is>
          <t>North</t>
        </is>
      </c>
      <c r="J70" s="7" t="n">
        <v>5</v>
      </c>
      <c r="K70" s="7" t="n">
        <v>3777.98</v>
      </c>
      <c r="L70" s="7" t="n">
        <v>18889.89</v>
      </c>
      <c r="M70" s="7" t="inlineStr">
        <is>
          <t>Pending</t>
        </is>
      </c>
    </row>
    <row r="71">
      <c r="A71" s="7" t="inlineStr">
        <is>
          <t>PO-00128</t>
        </is>
      </c>
      <c r="B71" s="9" t="n">
        <v>45708</v>
      </c>
      <c r="C71" s="7" t="inlineStr">
        <is>
          <t>Purchase Order</t>
        </is>
      </c>
      <c r="D71" s="7" t="inlineStr">
        <is>
          <t>SUP008</t>
        </is>
      </c>
      <c r="E71" s="7" t="inlineStr">
        <is>
          <t>GreenLeaf Packaging</t>
        </is>
      </c>
      <c r="F71" s="7" t="inlineStr">
        <is>
          <t>Packaging</t>
        </is>
      </c>
      <c r="G71" s="7" t="inlineStr">
        <is>
          <t>Labels</t>
        </is>
      </c>
      <c r="H71" s="7" t="inlineStr">
        <is>
          <t>Technology</t>
        </is>
      </c>
      <c r="I71" s="7" t="inlineStr">
        <is>
          <t>South</t>
        </is>
      </c>
      <c r="J71" s="7" t="n">
        <v>36</v>
      </c>
      <c r="K71" s="7" t="n">
        <v>469.73</v>
      </c>
      <c r="L71" s="7" t="n">
        <v>16910.27</v>
      </c>
      <c r="M71" s="7" t="inlineStr">
        <is>
          <t>Pending</t>
        </is>
      </c>
    </row>
    <row r="72">
      <c r="A72" s="7" t="inlineStr">
        <is>
          <t>PO-00299</t>
        </is>
      </c>
      <c r="B72" s="9" t="n">
        <v>45708</v>
      </c>
      <c r="C72" s="7" t="inlineStr">
        <is>
          <t>Goods Receipt</t>
        </is>
      </c>
      <c r="D72" s="7" t="inlineStr">
        <is>
          <t>SUP005</t>
        </is>
      </c>
      <c r="E72" s="7" t="inlineStr">
        <is>
          <t>Metro Logistics</t>
        </is>
      </c>
      <c r="F72" s="7" t="inlineStr">
        <is>
          <t>Logistics</t>
        </is>
      </c>
      <c r="G72" s="7" t="inlineStr">
        <is>
          <t>Warehouse handling</t>
        </is>
      </c>
      <c r="H72" s="7" t="inlineStr">
        <is>
          <t>Manufacturing</t>
        </is>
      </c>
      <c r="I72" s="7" t="inlineStr">
        <is>
          <t>South</t>
        </is>
      </c>
      <c r="J72" s="7" t="n">
        <v>72</v>
      </c>
      <c r="K72" s="7" t="n">
        <v>318.13</v>
      </c>
      <c r="L72" s="7" t="n">
        <v>22905.34</v>
      </c>
      <c r="M72" s="7" t="inlineStr">
        <is>
          <t>Pending</t>
        </is>
      </c>
    </row>
    <row r="73">
      <c r="A73" s="7" t="inlineStr">
        <is>
          <t>PO-00547</t>
        </is>
      </c>
      <c r="B73" s="9" t="n">
        <v>45708</v>
      </c>
      <c r="C73" s="7" t="inlineStr">
        <is>
          <t>Invoice</t>
        </is>
      </c>
      <c r="D73" s="7" t="inlineStr">
        <is>
          <t>SUP012</t>
        </is>
      </c>
      <c r="E73" s="7" t="inlineStr">
        <is>
          <t>Pioneer Hardware</t>
        </is>
      </c>
      <c r="F73" s="7" t="inlineStr">
        <is>
          <t>Maintenance</t>
        </is>
      </c>
      <c r="G73" s="7" t="inlineStr">
        <is>
          <t>Tools and supplies</t>
        </is>
      </c>
      <c r="H73" s="7" t="inlineStr">
        <is>
          <t>Corporate</t>
        </is>
      </c>
      <c r="I73" s="7" t="inlineStr">
        <is>
          <t>West</t>
        </is>
      </c>
      <c r="J73" s="7" t="n">
        <v>33</v>
      </c>
      <c r="K73" s="7" t="n">
        <v>120.38</v>
      </c>
      <c r="L73" s="7" t="n">
        <v>3972.56</v>
      </c>
      <c r="M73" s="7" t="inlineStr">
        <is>
          <t>Overdue</t>
        </is>
      </c>
    </row>
    <row r="74">
      <c r="A74" s="7" t="inlineStr">
        <is>
          <t>PO-00177</t>
        </is>
      </c>
      <c r="B74" s="9" t="n">
        <v>45708</v>
      </c>
      <c r="C74" s="7" t="inlineStr">
        <is>
          <t>Purchase Order</t>
        </is>
      </c>
      <c r="D74" s="7" t="inlineStr">
        <is>
          <t>SUP012</t>
        </is>
      </c>
      <c r="E74" s="7" t="inlineStr">
        <is>
          <t>Pioneer Hardware</t>
        </is>
      </c>
      <c r="F74" s="7" t="inlineStr">
        <is>
          <t>Maintenance</t>
        </is>
      </c>
      <c r="G74" s="7" t="inlineStr">
        <is>
          <t>Equipment servicing</t>
        </is>
      </c>
      <c r="H74" s="7" t="inlineStr">
        <is>
          <t>Sales</t>
        </is>
      </c>
      <c r="I74" s="7" t="inlineStr">
        <is>
          <t>South</t>
        </is>
      </c>
      <c r="J74" s="7" t="n">
        <v>18</v>
      </c>
      <c r="K74" s="7" t="n">
        <v>792.77</v>
      </c>
      <c r="L74" s="7" t="n">
        <v>14269.89</v>
      </c>
      <c r="M74" s="7" t="inlineStr">
        <is>
          <t>Overdue</t>
        </is>
      </c>
    </row>
    <row r="75">
      <c r="A75" s="7" t="inlineStr">
        <is>
          <t>PO-00379</t>
        </is>
      </c>
      <c r="B75" s="9" t="n">
        <v>45709</v>
      </c>
      <c r="C75" s="7" t="inlineStr">
        <is>
          <t>Goods Receipt</t>
        </is>
      </c>
      <c r="D75" s="7" t="inlineStr">
        <is>
          <t>SUP006</t>
        </is>
      </c>
      <c r="E75" s="7" t="inlineStr">
        <is>
          <t>Metro Logistics Pvt Ltd</t>
        </is>
      </c>
      <c r="F75" s="7" t="inlineStr">
        <is>
          <t>Logistics</t>
        </is>
      </c>
      <c r="G75" s="7" t="inlineStr">
        <is>
          <t>Courier services</t>
        </is>
      </c>
      <c r="H75" s="7" t="inlineStr">
        <is>
          <t>Sales</t>
        </is>
      </c>
      <c r="I75" s="7" t="inlineStr">
        <is>
          <t>East</t>
        </is>
      </c>
      <c r="J75" s="7" t="n">
        <v>21</v>
      </c>
      <c r="K75" s="7" t="n">
        <v>207.22</v>
      </c>
      <c r="L75" s="7" t="n">
        <v>4351.58</v>
      </c>
      <c r="M75" s="7" t="inlineStr">
        <is>
          <t>Paid</t>
        </is>
      </c>
    </row>
    <row r="76">
      <c r="A76" s="7" t="inlineStr">
        <is>
          <t>PO-00335</t>
        </is>
      </c>
      <c r="B76" s="9" t="n">
        <v>45709</v>
      </c>
      <c r="C76" s="7" t="inlineStr">
        <is>
          <t>Invoice</t>
        </is>
      </c>
      <c r="D76" s="7" t="inlineStr">
        <is>
          <t>SUP003</t>
        </is>
      </c>
      <c r="E76" s="7" t="inlineStr"/>
      <c r="F76" s="7" t="inlineStr">
        <is>
          <t>IT Services</t>
        </is>
      </c>
      <c r="G76" s="7" t="inlineStr">
        <is>
          <t>Cloud services</t>
        </is>
      </c>
      <c r="H76" s="7" t="inlineStr">
        <is>
          <t>Technology</t>
        </is>
      </c>
      <c r="I76" s="7" t="inlineStr">
        <is>
          <t>South</t>
        </is>
      </c>
      <c r="J76" s="7" t="n">
        <v>50</v>
      </c>
      <c r="K76" s="7" t="n">
        <v>362.49</v>
      </c>
      <c r="L76" s="7" t="n">
        <v>18124.69</v>
      </c>
      <c r="M76" s="7" t="inlineStr">
        <is>
          <t>Paid</t>
        </is>
      </c>
    </row>
    <row r="77">
      <c r="A77" s="7" t="inlineStr">
        <is>
          <t>PO-00373</t>
        </is>
      </c>
      <c r="B77" s="9" t="n">
        <v>45709</v>
      </c>
      <c r="C77" s="7" t="inlineStr">
        <is>
          <t>Goods Receipt</t>
        </is>
      </c>
      <c r="D77" s="7" t="inlineStr">
        <is>
          <t>SUP004</t>
        </is>
      </c>
      <c r="E77" s="7" t="inlineStr">
        <is>
          <t>North Star IT Svc</t>
        </is>
      </c>
      <c r="F77" s="7" t="inlineStr">
        <is>
          <t>IT Services</t>
        </is>
      </c>
      <c r="G77" s="7" t="inlineStr">
        <is>
          <t>Software support</t>
        </is>
      </c>
      <c r="H77" s="7" t="inlineStr">
        <is>
          <t>Operations</t>
        </is>
      </c>
      <c r="I77" s="7" t="inlineStr">
        <is>
          <t>West</t>
        </is>
      </c>
      <c r="J77" s="7" t="n">
        <v>105</v>
      </c>
      <c r="K77" s="7" t="n">
        <v>79.09999999999999</v>
      </c>
      <c r="L77" s="7" t="n">
        <v>8305.35</v>
      </c>
      <c r="M77" s="7" t="inlineStr">
        <is>
          <t>Pending</t>
        </is>
      </c>
    </row>
    <row r="78">
      <c r="A78" s="7" t="inlineStr">
        <is>
          <t>PO-00007</t>
        </is>
      </c>
      <c r="B78" s="9" t="n">
        <v>45709</v>
      </c>
      <c r="C78" s="7" t="inlineStr">
        <is>
          <t>Purchase Order</t>
        </is>
      </c>
      <c r="D78" s="7" t="inlineStr">
        <is>
          <t>SUP007</t>
        </is>
      </c>
      <c r="E78" s="7" t="inlineStr">
        <is>
          <t>BrightClean Facilities</t>
        </is>
      </c>
      <c r="F78" s="7" t="inlineStr">
        <is>
          <t>Facilities</t>
        </is>
      </c>
      <c r="G78" s="7" t="inlineStr">
        <is>
          <t>Facility maintenance</t>
        </is>
      </c>
      <c r="H78" s="7" t="inlineStr">
        <is>
          <t>Technology</t>
        </is>
      </c>
      <c r="I78" s="7" t="inlineStr">
        <is>
          <t>South</t>
        </is>
      </c>
      <c r="J78" s="7" t="n">
        <v>47</v>
      </c>
      <c r="K78" s="7" t="n">
        <v>244.38</v>
      </c>
      <c r="L78" s="7" t="n">
        <v>11486.04</v>
      </c>
      <c r="M78" s="7" t="inlineStr">
        <is>
          <t>Overdue</t>
        </is>
      </c>
    </row>
    <row r="79">
      <c r="A79" s="7" t="inlineStr">
        <is>
          <t>PO-00567</t>
        </is>
      </c>
      <c r="B79" s="9" t="n">
        <v>45710</v>
      </c>
      <c r="C79" s="7" t="inlineStr">
        <is>
          <t>Purchase Order</t>
        </is>
      </c>
      <c r="D79" s="7" t="inlineStr">
        <is>
          <t>SUP005</t>
        </is>
      </c>
      <c r="E79" s="7" t="inlineStr">
        <is>
          <t>Metro Logistics</t>
        </is>
      </c>
      <c r="F79" s="7" t="inlineStr">
        <is>
          <t>Logistics</t>
        </is>
      </c>
      <c r="G79" s="7" t="inlineStr">
        <is>
          <t>Freight services</t>
        </is>
      </c>
      <c r="H79" s="7" t="inlineStr">
        <is>
          <t>Corporate</t>
        </is>
      </c>
      <c r="I79" s="7" t="inlineStr">
        <is>
          <t>South</t>
        </is>
      </c>
      <c r="J79" s="7" t="n">
        <v>94</v>
      </c>
      <c r="K79" s="7" t="n">
        <v>233.44</v>
      </c>
      <c r="L79" s="7" t="n">
        <v>21943.1</v>
      </c>
      <c r="M79" s="7" t="inlineStr">
        <is>
          <t>Paid</t>
        </is>
      </c>
    </row>
    <row r="80">
      <c r="A80" s="7" t="inlineStr">
        <is>
          <t>PO-00364</t>
        </is>
      </c>
      <c r="B80" s="9" t="n">
        <v>45710</v>
      </c>
      <c r="C80" s="7" t="inlineStr">
        <is>
          <t>Purchase Order</t>
        </is>
      </c>
      <c r="D80" s="7" t="inlineStr">
        <is>
          <t>SUP003</t>
        </is>
      </c>
      <c r="E80" s="7" t="inlineStr">
        <is>
          <t>Northstar IT Services</t>
        </is>
      </c>
      <c r="F80" s="7" t="inlineStr">
        <is>
          <t>IT Services</t>
        </is>
      </c>
      <c r="G80" s="7" t="inlineStr">
        <is>
          <t>Software support</t>
        </is>
      </c>
      <c r="H80" s="7" t="inlineStr">
        <is>
          <t>Operations</t>
        </is>
      </c>
      <c r="I80" s="7" t="inlineStr">
        <is>
          <t>West</t>
        </is>
      </c>
      <c r="J80" s="7" t="n">
        <v>100</v>
      </c>
      <c r="K80" s="7" t="n">
        <v>20.79</v>
      </c>
      <c r="L80" s="7" t="n">
        <v>2078.5</v>
      </c>
      <c r="M80" s="7" t="inlineStr">
        <is>
          <t>Pending</t>
        </is>
      </c>
    </row>
    <row r="81">
      <c r="A81" s="7" t="inlineStr">
        <is>
          <t>PO-00301</t>
        </is>
      </c>
      <c r="B81" s="9" t="n">
        <v>45711</v>
      </c>
      <c r="C81" s="7" t="inlineStr">
        <is>
          <t>Goods Receipt</t>
        </is>
      </c>
      <c r="D81" s="7" t="inlineStr">
        <is>
          <t>SUP005</t>
        </is>
      </c>
      <c r="E81" s="7" t="inlineStr">
        <is>
          <t>Metro Logistics</t>
        </is>
      </c>
      <c r="F81" s="7" t="inlineStr">
        <is>
          <t>Logistics</t>
        </is>
      </c>
      <c r="G81" s="7" t="inlineStr">
        <is>
          <t>Freight services</t>
        </is>
      </c>
      <c r="H81" s="7" t="inlineStr">
        <is>
          <t>Technology</t>
        </is>
      </c>
      <c r="I81" s="7" t="inlineStr">
        <is>
          <t>East</t>
        </is>
      </c>
      <c r="J81" s="7" t="n">
        <v>15</v>
      </c>
      <c r="K81" s="7" t="n">
        <v>1962.45</v>
      </c>
      <c r="L81" s="7" t="n">
        <v>29436.68</v>
      </c>
      <c r="M81" s="7" t="inlineStr">
        <is>
          <t>Pending</t>
        </is>
      </c>
    </row>
    <row r="82">
      <c r="A82" s="7" t="inlineStr">
        <is>
          <t>PO-00437</t>
        </is>
      </c>
      <c r="B82" s="9" t="n">
        <v>45711</v>
      </c>
      <c r="C82" s="7" t="inlineStr">
        <is>
          <t>Purchase Order</t>
        </is>
      </c>
      <c r="D82" s="7" t="inlineStr">
        <is>
          <t>SUP009</t>
        </is>
      </c>
      <c r="E82" s="7" t="inlineStr">
        <is>
          <t>Summit Consulting</t>
        </is>
      </c>
      <c r="F82" s="7" t="inlineStr">
        <is>
          <t>Professional Services</t>
        </is>
      </c>
      <c r="G82" s="7" t="inlineStr">
        <is>
          <t>Training services</t>
        </is>
      </c>
      <c r="H82" s="7" t="inlineStr">
        <is>
          <t>Operations</t>
        </is>
      </c>
      <c r="I82" s="7" t="inlineStr">
        <is>
          <t>South</t>
        </is>
      </c>
      <c r="J82" s="7" t="n">
        <v>15</v>
      </c>
      <c r="K82" s="7" t="n">
        <v>252.18</v>
      </c>
      <c r="L82" s="7" t="n">
        <v>3782.66</v>
      </c>
      <c r="M82" s="7" t="inlineStr">
        <is>
          <t>Pending</t>
        </is>
      </c>
    </row>
    <row r="83">
      <c r="A83" s="7" t="inlineStr">
        <is>
          <t>PO-00036</t>
        </is>
      </c>
      <c r="B83" s="9" t="n">
        <v>45711</v>
      </c>
      <c r="C83" s="7" t="inlineStr">
        <is>
          <t>Goods Receipt</t>
        </is>
      </c>
      <c r="D83" s="7" t="inlineStr">
        <is>
          <t>SUP003</t>
        </is>
      </c>
      <c r="E83" s="7" t="inlineStr">
        <is>
          <t>Northstar IT Services</t>
        </is>
      </c>
      <c r="F83" s="7" t="inlineStr">
        <is>
          <t>IT Services</t>
        </is>
      </c>
      <c r="G83" s="7" t="inlineStr">
        <is>
          <t>Software support</t>
        </is>
      </c>
      <c r="H83" s="7" t="inlineStr">
        <is>
          <t>Technology</t>
        </is>
      </c>
      <c r="I83" s="7" t="inlineStr">
        <is>
          <t>East</t>
        </is>
      </c>
      <c r="J83" s="7" t="n">
        <v>96</v>
      </c>
      <c r="K83" s="7" t="n">
        <v>283.83</v>
      </c>
      <c r="L83" s="7" t="n">
        <v>27247.71</v>
      </c>
      <c r="M83" s="7" t="inlineStr">
        <is>
          <t>Overdue</t>
        </is>
      </c>
    </row>
    <row r="84">
      <c r="A84" s="7" t="inlineStr">
        <is>
          <t>PO-00116</t>
        </is>
      </c>
      <c r="B84" s="9" t="n">
        <v>45712</v>
      </c>
      <c r="C84" s="7" t="inlineStr">
        <is>
          <t>Goods Receipt</t>
        </is>
      </c>
      <c r="D84" s="7" t="inlineStr">
        <is>
          <t>SUP004</t>
        </is>
      </c>
      <c r="E84" s="7" t="inlineStr">
        <is>
          <t>North Star IT Svc</t>
        </is>
      </c>
      <c r="F84" s="7" t="inlineStr">
        <is>
          <t>IT Services</t>
        </is>
      </c>
      <c r="G84" s="7" t="inlineStr">
        <is>
          <t>Cloud services</t>
        </is>
      </c>
      <c r="H84" s="7" t="inlineStr">
        <is>
          <t>Corporate</t>
        </is>
      </c>
      <c r="I84" s="7" t="inlineStr">
        <is>
          <t>West</t>
        </is>
      </c>
      <c r="J84" s="7" t="n">
        <v>38</v>
      </c>
      <c r="K84" s="7" t="n">
        <v>292.5</v>
      </c>
      <c r="L84" s="7" t="n">
        <v>11114.92</v>
      </c>
      <c r="M84" s="7" t="inlineStr">
        <is>
          <t>Pending</t>
        </is>
      </c>
    </row>
    <row r="85">
      <c r="A85" s="7" t="inlineStr">
        <is>
          <t>PO-00537</t>
        </is>
      </c>
      <c r="B85" s="9" t="n">
        <v>45712</v>
      </c>
      <c r="C85" s="7" t="inlineStr">
        <is>
          <t>Invoice</t>
        </is>
      </c>
      <c r="D85" s="7" t="inlineStr">
        <is>
          <t>SUP002</t>
        </is>
      </c>
      <c r="E85" s="7" t="inlineStr">
        <is>
          <t>Apex Office Supply Ltd</t>
        </is>
      </c>
      <c r="F85" s="7" t="inlineStr">
        <is>
          <t>Office Supplies</t>
        </is>
      </c>
      <c r="G85" s="7" t="inlineStr">
        <is>
          <t>Toner cartridges</t>
        </is>
      </c>
      <c r="H85" s="7" t="inlineStr">
        <is>
          <t>Corporate</t>
        </is>
      </c>
      <c r="I85" s="7" t="inlineStr">
        <is>
          <t>North</t>
        </is>
      </c>
      <c r="J85" s="7" t="n">
        <v>85</v>
      </c>
      <c r="K85" s="7" t="n">
        <v>143.57</v>
      </c>
      <c r="L85" s="7" t="n">
        <v>12203.52</v>
      </c>
      <c r="M85" s="7" t="inlineStr">
        <is>
          <t>Pending</t>
        </is>
      </c>
    </row>
    <row r="86">
      <c r="A86" s="7" t="inlineStr">
        <is>
          <t>PO-00016</t>
        </is>
      </c>
      <c r="B86" s="9" t="n">
        <v>45712</v>
      </c>
      <c r="C86" s="7" t="inlineStr">
        <is>
          <t>Purchase Order</t>
        </is>
      </c>
      <c r="D86" s="7" t="inlineStr">
        <is>
          <t>SUP011</t>
        </is>
      </c>
      <c r="E86" s="7" t="inlineStr">
        <is>
          <t>Vertex Marketing</t>
        </is>
      </c>
      <c r="F86" s="7" t="inlineStr">
        <is>
          <t>Marketing</t>
        </is>
      </c>
      <c r="G86" s="7" t="inlineStr">
        <is>
          <t>Digital campaign</t>
        </is>
      </c>
      <c r="H86" s="7" t="inlineStr">
        <is>
          <t>Technology</t>
        </is>
      </c>
      <c r="I86" s="7" t="inlineStr">
        <is>
          <t>South</t>
        </is>
      </c>
      <c r="J86" s="7" t="n">
        <v>78</v>
      </c>
      <c r="K86" s="7" t="n">
        <v>148.01</v>
      </c>
      <c r="L86" s="7" t="n">
        <v>11544.42</v>
      </c>
      <c r="M86" s="7" t="inlineStr">
        <is>
          <t>Overdue</t>
        </is>
      </c>
    </row>
    <row r="87">
      <c r="A87" s="7" t="inlineStr">
        <is>
          <t>PO-00069</t>
        </is>
      </c>
      <c r="B87" s="9" t="n">
        <v>45713</v>
      </c>
      <c r="C87" s="7" t="inlineStr">
        <is>
          <t>Invoice</t>
        </is>
      </c>
      <c r="D87" s="7" t="inlineStr">
        <is>
          <t>SUP010</t>
        </is>
      </c>
      <c r="E87" s="7" t="inlineStr">
        <is>
          <t>Urban Energy Solutions</t>
        </is>
      </c>
      <c r="F87" s="7" t="inlineStr">
        <is>
          <t>Packaging</t>
        </is>
      </c>
      <c r="G87" s="7" t="inlineStr">
        <is>
          <t>Protective packaging</t>
        </is>
      </c>
      <c r="H87" s="7" t="inlineStr">
        <is>
          <t>Operations</t>
        </is>
      </c>
      <c r="I87" s="7" t="inlineStr">
        <is>
          <t>North</t>
        </is>
      </c>
      <c r="J87" s="7" t="n">
        <v>117</v>
      </c>
      <c r="K87" s="7" t="n">
        <v>89.02</v>
      </c>
      <c r="L87" s="7" t="n">
        <v>10415.25</v>
      </c>
      <c r="M87" s="7" t="inlineStr">
        <is>
          <t>Overdue</t>
        </is>
      </c>
    </row>
    <row r="88">
      <c r="A88" s="7" t="inlineStr">
        <is>
          <t>PO-00013</t>
        </is>
      </c>
      <c r="B88" s="9" t="n">
        <v>45714</v>
      </c>
      <c r="C88" s="7" t="inlineStr">
        <is>
          <t>Goods Receipt</t>
        </is>
      </c>
      <c r="D88" s="7" t="inlineStr">
        <is>
          <t>SUP003</t>
        </is>
      </c>
      <c r="E88" s="7" t="inlineStr">
        <is>
          <t>Northstar IT Services</t>
        </is>
      </c>
      <c r="F88" s="7" t="inlineStr">
        <is>
          <t>IT Services</t>
        </is>
      </c>
      <c r="G88" s="7" t="inlineStr">
        <is>
          <t>Software support</t>
        </is>
      </c>
      <c r="H88" s="7" t="inlineStr">
        <is>
          <t>Sales</t>
        </is>
      </c>
      <c r="I88" s="7" t="inlineStr">
        <is>
          <t>West</t>
        </is>
      </c>
      <c r="J88" s="7" t="n">
        <v>55</v>
      </c>
      <c r="K88" s="7" t="n">
        <v>441.46</v>
      </c>
      <c r="L88" s="7" t="n">
        <v>24280.04</v>
      </c>
      <c r="M88" s="7" t="inlineStr">
        <is>
          <t>Overdue</t>
        </is>
      </c>
    </row>
    <row r="89">
      <c r="A89" s="7" t="inlineStr">
        <is>
          <t>PO-00133</t>
        </is>
      </c>
      <c r="B89" s="9" t="n">
        <v>45714</v>
      </c>
      <c r="C89" s="7" t="inlineStr">
        <is>
          <t>Purchase Order</t>
        </is>
      </c>
      <c r="D89" s="7" t="inlineStr">
        <is>
          <t>SUP011</t>
        </is>
      </c>
      <c r="E89" s="7" t="inlineStr">
        <is>
          <t>Vertex Marketing</t>
        </is>
      </c>
      <c r="F89" s="7" t="inlineStr">
        <is>
          <t>Marketing</t>
        </is>
      </c>
      <c r="G89" s="7" t="inlineStr">
        <is>
          <t>Promotional materials</t>
        </is>
      </c>
      <c r="H89" s="7" t="inlineStr">
        <is>
          <t>Technology</t>
        </is>
      </c>
      <c r="I89" s="7" t="inlineStr">
        <is>
          <t>North</t>
        </is>
      </c>
      <c r="J89" s="7" t="n">
        <v>46</v>
      </c>
      <c r="K89" s="7" t="n">
        <v>53.84</v>
      </c>
      <c r="L89" s="7" t="n">
        <v>2476.64</v>
      </c>
      <c r="M89" s="7" t="inlineStr">
        <is>
          <t>Paid</t>
        </is>
      </c>
    </row>
    <row r="90">
      <c r="A90" s="7" t="inlineStr">
        <is>
          <t>PO-00252</t>
        </is>
      </c>
      <c r="B90" s="9" t="n">
        <v>45715</v>
      </c>
      <c r="C90" s="7" t="inlineStr">
        <is>
          <t>Purchase Order</t>
        </is>
      </c>
      <c r="D90" s="7" t="inlineStr">
        <is>
          <t>SUP001</t>
        </is>
      </c>
      <c r="E90" s="7" t="inlineStr">
        <is>
          <t>Apex Office Supplies</t>
        </is>
      </c>
      <c r="F90" s="7" t="inlineStr">
        <is>
          <t>Office Supplies</t>
        </is>
      </c>
      <c r="G90" s="7" t="inlineStr">
        <is>
          <t>Printer paper</t>
        </is>
      </c>
      <c r="H90" s="7" t="inlineStr">
        <is>
          <t>Operations</t>
        </is>
      </c>
      <c r="I90" s="7" t="inlineStr">
        <is>
          <t>North</t>
        </is>
      </c>
      <c r="J90" s="7" t="n">
        <v>99</v>
      </c>
      <c r="K90" s="7" t="n">
        <v>76.93000000000001</v>
      </c>
      <c r="M90" s="7" t="inlineStr">
        <is>
          <t>Paid</t>
        </is>
      </c>
    </row>
    <row r="91">
      <c r="A91" s="7" t="inlineStr">
        <is>
          <t>PO-00447</t>
        </is>
      </c>
      <c r="B91" s="9" t="n">
        <v>45715</v>
      </c>
      <c r="C91" s="7" t="inlineStr">
        <is>
          <t>Invoice</t>
        </is>
      </c>
      <c r="D91" s="7" t="inlineStr">
        <is>
          <t>SUP007</t>
        </is>
      </c>
      <c r="E91" s="7" t="inlineStr">
        <is>
          <t>BrightClean Facilities</t>
        </is>
      </c>
      <c r="F91" s="7" t="inlineStr">
        <is>
          <t>Facilities</t>
        </is>
      </c>
      <c r="G91" s="7" t="inlineStr">
        <is>
          <t>Cleaning services</t>
        </is>
      </c>
      <c r="H91" s="7" t="inlineStr">
        <is>
          <t>Manufacturing</t>
        </is>
      </c>
      <c r="I91" s="7" t="inlineStr">
        <is>
          <t>South</t>
        </is>
      </c>
      <c r="J91" s="7" t="n">
        <v>84</v>
      </c>
      <c r="K91" s="7" t="n">
        <v>14.91</v>
      </c>
      <c r="L91" s="7" t="n">
        <v>1252.45</v>
      </c>
      <c r="M91" s="7" t="inlineStr">
        <is>
          <t>Overdue</t>
        </is>
      </c>
    </row>
    <row r="92">
      <c r="A92" s="7" t="inlineStr">
        <is>
          <t>PO-00508</t>
        </is>
      </c>
      <c r="B92" s="9" t="n">
        <v>45716</v>
      </c>
      <c r="C92" s="7" t="inlineStr">
        <is>
          <t>Purchase Order</t>
        </is>
      </c>
      <c r="D92" s="7" t="inlineStr">
        <is>
          <t>SUP008</t>
        </is>
      </c>
      <c r="E92" s="7" t="inlineStr">
        <is>
          <t>GreenLeaf Packaging</t>
        </is>
      </c>
      <c r="F92" s="7" t="inlineStr">
        <is>
          <t>Packaging</t>
        </is>
      </c>
      <c r="G92" s="7" t="inlineStr">
        <is>
          <t>Labels</t>
        </is>
      </c>
      <c r="H92" s="7" t="inlineStr">
        <is>
          <t>Sales</t>
        </is>
      </c>
      <c r="I92" s="7" t="inlineStr">
        <is>
          <t>North</t>
        </is>
      </c>
      <c r="J92" s="7" t="n">
        <v>76</v>
      </c>
      <c r="K92" s="7" t="n">
        <v>114.27</v>
      </c>
      <c r="L92" s="7" t="n">
        <v>8684.9</v>
      </c>
      <c r="M92" s="7" t="inlineStr">
        <is>
          <t>Paid</t>
        </is>
      </c>
    </row>
    <row r="93">
      <c r="A93" s="7" t="inlineStr">
        <is>
          <t>PO-00195</t>
        </is>
      </c>
      <c r="B93" s="9" t="n">
        <v>45716</v>
      </c>
      <c r="C93" s="7" t="inlineStr">
        <is>
          <t>Goods Receipt</t>
        </is>
      </c>
      <c r="D93" s="7" t="inlineStr">
        <is>
          <t>SUP001</t>
        </is>
      </c>
      <c r="E93" s="7" t="inlineStr">
        <is>
          <t>Apex Office Supplies</t>
        </is>
      </c>
      <c r="F93" s="7" t="inlineStr">
        <is>
          <t>Office Supplies</t>
        </is>
      </c>
      <c r="G93" s="7" t="inlineStr">
        <is>
          <t>Printer paper</t>
        </is>
      </c>
      <c r="H93" s="7" t="inlineStr">
        <is>
          <t>Technology</t>
        </is>
      </c>
      <c r="I93" s="7" t="inlineStr">
        <is>
          <t>East</t>
        </is>
      </c>
      <c r="J93" s="7" t="n">
        <v>50</v>
      </c>
      <c r="K93" s="7" t="n">
        <v>180.86</v>
      </c>
      <c r="L93" s="7" t="n">
        <v>9042.91</v>
      </c>
      <c r="M93" s="7" t="inlineStr">
        <is>
          <t>Overdue</t>
        </is>
      </c>
    </row>
    <row r="94">
      <c r="A94" s="7" t="inlineStr">
        <is>
          <t>PO-00293</t>
        </is>
      </c>
      <c r="B94" s="9" t="n">
        <v>45716</v>
      </c>
      <c r="C94" s="7" t="inlineStr">
        <is>
          <t>Goods Receipt</t>
        </is>
      </c>
      <c r="D94" s="7" t="inlineStr">
        <is>
          <t>SUP010</t>
        </is>
      </c>
      <c r="E94" s="7" t="inlineStr">
        <is>
          <t>Urban Energy Solutions</t>
        </is>
      </c>
      <c r="F94" s="7" t="inlineStr">
        <is>
          <t>Utilities</t>
        </is>
      </c>
      <c r="G94" s="7" t="inlineStr">
        <is>
          <t>Natural gas</t>
        </is>
      </c>
      <c r="H94" s="7" t="inlineStr">
        <is>
          <t>Corporate</t>
        </is>
      </c>
      <c r="I94" s="7" t="inlineStr">
        <is>
          <t>West</t>
        </is>
      </c>
      <c r="J94" s="7" t="n">
        <v>24</v>
      </c>
      <c r="K94" s="7" t="n">
        <v>747.96</v>
      </c>
      <c r="L94" s="7" t="n">
        <v>17951.1</v>
      </c>
      <c r="M94" s="7" t="inlineStr">
        <is>
          <t>Overdue</t>
        </is>
      </c>
    </row>
    <row r="95">
      <c r="A95" s="7" t="inlineStr">
        <is>
          <t>PO-00478</t>
        </is>
      </c>
      <c r="B95" s="9" t="n">
        <v>45716</v>
      </c>
      <c r="C95" s="7" t="inlineStr">
        <is>
          <t>Goods Receipt</t>
        </is>
      </c>
      <c r="D95" s="7" t="inlineStr">
        <is>
          <t>SUP007</t>
        </is>
      </c>
      <c r="E95" s="7" t="inlineStr">
        <is>
          <t>BrightClean Facilities</t>
        </is>
      </c>
      <c r="F95" s="7" t="inlineStr">
        <is>
          <t>Facilities</t>
        </is>
      </c>
      <c r="G95" s="7" t="inlineStr">
        <is>
          <t>Facility maintenance</t>
        </is>
      </c>
      <c r="H95" s="7" t="inlineStr">
        <is>
          <t>Manufacturing</t>
        </is>
      </c>
      <c r="I95" s="7" t="inlineStr">
        <is>
          <t>West</t>
        </is>
      </c>
      <c r="J95" s="7" t="n">
        <v>4</v>
      </c>
      <c r="K95" s="7" t="n">
        <v>3266.17</v>
      </c>
      <c r="L95" s="7" t="n">
        <v>13064.68</v>
      </c>
      <c r="M95" s="7" t="inlineStr">
        <is>
          <t>Pending</t>
        </is>
      </c>
    </row>
    <row r="96">
      <c r="A96" s="7" t="inlineStr">
        <is>
          <t>PO-00435</t>
        </is>
      </c>
      <c r="B96" s="9" t="n">
        <v>45717</v>
      </c>
      <c r="C96" s="7" t="inlineStr">
        <is>
          <t>Invoice</t>
        </is>
      </c>
      <c r="D96" s="7" t="inlineStr">
        <is>
          <t>SUP007</t>
        </is>
      </c>
      <c r="E96" s="7" t="inlineStr">
        <is>
          <t>BrightClean Facilities</t>
        </is>
      </c>
      <c r="F96" s="7" t="inlineStr">
        <is>
          <t>Facilities</t>
        </is>
      </c>
      <c r="G96" s="7" t="inlineStr">
        <is>
          <t>Security services</t>
        </is>
      </c>
      <c r="H96" s="7" t="inlineStr">
        <is>
          <t>Operations</t>
        </is>
      </c>
      <c r="I96" s="7" t="inlineStr">
        <is>
          <t>South</t>
        </is>
      </c>
      <c r="J96" s="7" t="n">
        <v>33</v>
      </c>
      <c r="K96" s="7" t="n">
        <v>70.59999999999999</v>
      </c>
      <c r="L96" s="7" t="n">
        <v>2329.88</v>
      </c>
      <c r="M96" s="7" t="inlineStr">
        <is>
          <t>Overdue</t>
        </is>
      </c>
    </row>
    <row r="97">
      <c r="A97" s="7" t="inlineStr">
        <is>
          <t>PO-00442</t>
        </is>
      </c>
      <c r="B97" s="9" t="n">
        <v>45717</v>
      </c>
      <c r="C97" s="7" t="inlineStr">
        <is>
          <t>Purchase Order</t>
        </is>
      </c>
      <c r="D97" s="7" t="inlineStr">
        <is>
          <t>SUP002</t>
        </is>
      </c>
      <c r="E97" s="7" t="inlineStr">
        <is>
          <t>Apex Office Supply Ltd</t>
        </is>
      </c>
      <c r="F97" s="7" t="inlineStr">
        <is>
          <t>Office Supplies</t>
        </is>
      </c>
      <c r="G97" s="7" t="inlineStr">
        <is>
          <t>Toner cartridges</t>
        </is>
      </c>
      <c r="H97" s="7" t="inlineStr">
        <is>
          <t>Operations</t>
        </is>
      </c>
      <c r="I97" s="7" t="inlineStr">
        <is>
          <t>East</t>
        </is>
      </c>
      <c r="J97" s="7" t="n">
        <v>2</v>
      </c>
      <c r="K97" s="7" t="n">
        <v>8019.21</v>
      </c>
      <c r="L97" s="7" t="n">
        <v>16038.42</v>
      </c>
      <c r="M97" s="7" t="inlineStr">
        <is>
          <t>Pending</t>
        </is>
      </c>
    </row>
    <row r="98">
      <c r="A98" s="7" t="inlineStr">
        <is>
          <t>PO-00531</t>
        </is>
      </c>
      <c r="B98" s="9" t="n">
        <v>45717</v>
      </c>
      <c r="C98" s="7" t="inlineStr">
        <is>
          <t>Goods Receipt</t>
        </is>
      </c>
      <c r="D98" s="7" t="inlineStr">
        <is>
          <t>SUP009</t>
        </is>
      </c>
      <c r="E98" s="7" t="inlineStr">
        <is>
          <t>Summit Consulting</t>
        </is>
      </c>
      <c r="F98" s="7" t="inlineStr">
        <is>
          <t>Professional Services</t>
        </is>
      </c>
      <c r="G98" s="7" t="inlineStr">
        <is>
          <t>Training services</t>
        </is>
      </c>
      <c r="H98" s="7" t="inlineStr">
        <is>
          <t>Sales</t>
        </is>
      </c>
      <c r="I98" s="7" t="inlineStr">
        <is>
          <t>West</t>
        </is>
      </c>
      <c r="J98" s="7" t="n">
        <v>105</v>
      </c>
      <c r="K98" s="7" t="n">
        <v>255.57</v>
      </c>
      <c r="L98" s="7" t="n">
        <v>26834.33</v>
      </c>
      <c r="M98" s="7" t="inlineStr">
        <is>
          <t>Overdue</t>
        </is>
      </c>
    </row>
    <row r="99">
      <c r="A99" s="7" t="inlineStr">
        <is>
          <t>PO-00533</t>
        </is>
      </c>
      <c r="B99" s="9" t="n">
        <v>45717</v>
      </c>
      <c r="C99" s="7" t="inlineStr">
        <is>
          <t>Invoice</t>
        </is>
      </c>
      <c r="D99" s="7" t="inlineStr">
        <is>
          <t>SUP005</t>
        </is>
      </c>
      <c r="E99" s="7" t="inlineStr">
        <is>
          <t>Metro Logistics</t>
        </is>
      </c>
      <c r="F99" s="7" t="inlineStr">
        <is>
          <t>Facilities</t>
        </is>
      </c>
      <c r="G99" s="7" t="inlineStr">
        <is>
          <t>Facility maintenance</t>
        </is>
      </c>
      <c r="H99" s="7" t="inlineStr">
        <is>
          <t>Technology</t>
        </is>
      </c>
      <c r="I99" s="7" t="inlineStr">
        <is>
          <t>North</t>
        </is>
      </c>
      <c r="J99" s="7" t="n">
        <v>30</v>
      </c>
      <c r="K99" s="7" t="n">
        <v>407.44</v>
      </c>
      <c r="L99" s="7" t="n">
        <v>12223.2</v>
      </c>
      <c r="M99" s="7" t="inlineStr">
        <is>
          <t>Overdue</t>
        </is>
      </c>
    </row>
    <row r="100">
      <c r="A100" s="7" t="inlineStr">
        <is>
          <t>PO-00424</t>
        </is>
      </c>
      <c r="B100" s="9" t="n">
        <v>45718</v>
      </c>
      <c r="C100" s="7" t="inlineStr">
        <is>
          <t>Goods Receipt</t>
        </is>
      </c>
      <c r="D100" s="7" t="inlineStr">
        <is>
          <t>SUP008</t>
        </is>
      </c>
      <c r="E100" s="7" t="inlineStr">
        <is>
          <t>GreenLeaf Packaging</t>
        </is>
      </c>
      <c r="F100" s="7" t="inlineStr">
        <is>
          <t>IT Services</t>
        </is>
      </c>
      <c r="G100" s="7" t="inlineStr">
        <is>
          <t>Software support</t>
        </is>
      </c>
      <c r="H100" s="7" t="inlineStr">
        <is>
          <t>Sales</t>
        </is>
      </c>
      <c r="I100" s="7" t="inlineStr">
        <is>
          <t>East</t>
        </is>
      </c>
      <c r="J100" s="7" t="n">
        <v>25</v>
      </c>
      <c r="K100" s="7" t="n">
        <v>582.3</v>
      </c>
      <c r="L100" s="7" t="n">
        <v>14557.59</v>
      </c>
      <c r="M100" s="7" t="inlineStr">
        <is>
          <t>Pending</t>
        </is>
      </c>
    </row>
    <row r="101">
      <c r="A101" s="7" t="inlineStr">
        <is>
          <t>PO-00522</t>
        </is>
      </c>
      <c r="B101" s="9" t="n">
        <v>45718</v>
      </c>
      <c r="C101" s="7" t="inlineStr">
        <is>
          <t>Purchase Order</t>
        </is>
      </c>
      <c r="D101" s="7" t="inlineStr">
        <is>
          <t>SUP012</t>
        </is>
      </c>
      <c r="E101" s="7" t="inlineStr">
        <is>
          <t>Pioneer Hardware</t>
        </is>
      </c>
      <c r="F101" s="7" t="inlineStr">
        <is>
          <t>Maintenance</t>
        </is>
      </c>
      <c r="G101" s="7" t="inlineStr">
        <is>
          <t>Repair parts</t>
        </is>
      </c>
      <c r="H101" s="7" t="inlineStr">
        <is>
          <t>Manufacturing</t>
        </is>
      </c>
      <c r="I101" s="7" t="inlineStr">
        <is>
          <t>West</t>
        </is>
      </c>
      <c r="J101" s="7" t="n">
        <v>21</v>
      </c>
      <c r="K101" s="7" t="n">
        <v>672.48</v>
      </c>
      <c r="L101" s="7" t="n">
        <v>14121.99</v>
      </c>
      <c r="M101" s="7" t="inlineStr">
        <is>
          <t>Pending</t>
        </is>
      </c>
    </row>
    <row r="102">
      <c r="A102" s="7" t="inlineStr">
        <is>
          <t>PO-00361</t>
        </is>
      </c>
      <c r="B102" s="9" t="n">
        <v>45719</v>
      </c>
      <c r="C102" s="7" t="inlineStr">
        <is>
          <t>Goods Receipt</t>
        </is>
      </c>
      <c r="D102" s="7" t="inlineStr">
        <is>
          <t>SUP002</t>
        </is>
      </c>
      <c r="E102" s="7" t="inlineStr">
        <is>
          <t>Apex Office Supply Ltd</t>
        </is>
      </c>
      <c r="F102" s="7" t="inlineStr">
        <is>
          <t>Office Supplies</t>
        </is>
      </c>
      <c r="G102" s="7" t="inlineStr">
        <is>
          <t>Toner cartridges</t>
        </is>
      </c>
      <c r="H102" s="7" t="inlineStr">
        <is>
          <t>Manufacturing</t>
        </is>
      </c>
      <c r="I102" s="7" t="inlineStr">
        <is>
          <t>North</t>
        </is>
      </c>
      <c r="J102" s="7" t="n">
        <v>106</v>
      </c>
      <c r="K102" s="7" t="n">
        <v>116.86</v>
      </c>
      <c r="L102" s="7" t="n">
        <v>12386.66</v>
      </c>
      <c r="M102" s="7" t="inlineStr">
        <is>
          <t>Paid</t>
        </is>
      </c>
    </row>
    <row r="103">
      <c r="A103" s="7" t="inlineStr">
        <is>
          <t>PO-00142</t>
        </is>
      </c>
      <c r="B103" s="9" t="n">
        <v>45720</v>
      </c>
      <c r="C103" s="7" t="inlineStr">
        <is>
          <t>Invoice</t>
        </is>
      </c>
      <c r="D103" s="7" t="inlineStr">
        <is>
          <t>SUP007</t>
        </is>
      </c>
      <c r="E103" s="7" t="inlineStr">
        <is>
          <t>BrightClean Facilities</t>
        </is>
      </c>
      <c r="F103" s="7" t="inlineStr">
        <is>
          <t>Facilities</t>
        </is>
      </c>
      <c r="G103" s="7" t="inlineStr">
        <is>
          <t>Security services</t>
        </is>
      </c>
      <c r="H103" s="7" t="inlineStr">
        <is>
          <t>Corporate</t>
        </is>
      </c>
      <c r="I103" s="7" t="inlineStr">
        <is>
          <t>East</t>
        </is>
      </c>
      <c r="J103" s="7" t="n">
        <v>97</v>
      </c>
      <c r="K103" s="7" t="n">
        <v>123.88</v>
      </c>
      <c r="L103" s="7" t="n">
        <v>12016.29</v>
      </c>
      <c r="M103" s="7" t="inlineStr">
        <is>
          <t>Overdue</t>
        </is>
      </c>
    </row>
    <row r="104">
      <c r="A104" s="7" t="inlineStr">
        <is>
          <t>PO-00228</t>
        </is>
      </c>
      <c r="B104" s="9" t="n">
        <v>45720</v>
      </c>
      <c r="C104" s="7" t="inlineStr">
        <is>
          <t>Invoice</t>
        </is>
      </c>
      <c r="D104" s="7" t="inlineStr">
        <is>
          <t>SUP010</t>
        </is>
      </c>
      <c r="E104" s="7" t="inlineStr">
        <is>
          <t>Urban Energy Solutions</t>
        </is>
      </c>
      <c r="F104" s="7" t="inlineStr">
        <is>
          <t>Utilities</t>
        </is>
      </c>
      <c r="G104" s="7" t="inlineStr">
        <is>
          <t>Electricity</t>
        </is>
      </c>
      <c r="H104" s="7" t="inlineStr">
        <is>
          <t>Technology</t>
        </is>
      </c>
      <c r="I104" s="7" t="inlineStr">
        <is>
          <t>North</t>
        </is>
      </c>
      <c r="J104" s="7" t="n">
        <v>51</v>
      </c>
      <c r="K104" s="7" t="n">
        <v>135.47</v>
      </c>
      <c r="L104" s="7" t="n">
        <v>6908.93</v>
      </c>
      <c r="M104" s="7" t="inlineStr">
        <is>
          <t>Pending</t>
        </is>
      </c>
    </row>
    <row r="105">
      <c r="A105" s="7" t="inlineStr">
        <is>
          <t>PO-00570</t>
        </is>
      </c>
      <c r="B105" s="9" t="n">
        <v>45720</v>
      </c>
      <c r="C105" s="7" t="inlineStr">
        <is>
          <t>Purchase Order</t>
        </is>
      </c>
      <c r="D105" s="7" t="inlineStr">
        <is>
          <t>SUP012</t>
        </is>
      </c>
      <c r="E105" s="7" t="inlineStr">
        <is>
          <t>Pioneer Hardware</t>
        </is>
      </c>
      <c r="F105" s="7" t="inlineStr">
        <is>
          <t>Maintenance</t>
        </is>
      </c>
      <c r="G105" s="7" t="inlineStr">
        <is>
          <t>Tools and supplies</t>
        </is>
      </c>
      <c r="H105" s="7" t="inlineStr">
        <is>
          <t>Corporate</t>
        </is>
      </c>
      <c r="I105" s="7" t="inlineStr">
        <is>
          <t>South</t>
        </is>
      </c>
      <c r="J105" s="7" t="n">
        <v>57</v>
      </c>
      <c r="K105" s="7" t="n">
        <v>244.03</v>
      </c>
      <c r="L105" s="7" t="n">
        <v>13909.51</v>
      </c>
      <c r="M105" s="7" t="inlineStr">
        <is>
          <t>Pending</t>
        </is>
      </c>
    </row>
    <row r="106">
      <c r="A106" s="7" t="inlineStr">
        <is>
          <t>PO-00091</t>
        </is>
      </c>
      <c r="B106" s="9" t="n">
        <v>45721</v>
      </c>
      <c r="C106" s="7" t="inlineStr">
        <is>
          <t>Goods Receipt</t>
        </is>
      </c>
      <c r="D106" s="7" t="inlineStr">
        <is>
          <t>SUP008</t>
        </is>
      </c>
      <c r="E106" s="7" t="inlineStr">
        <is>
          <t>GreenLeaf Packaging</t>
        </is>
      </c>
      <c r="F106" s="7" t="inlineStr">
        <is>
          <t>Packaging</t>
        </is>
      </c>
      <c r="G106" s="7" t="inlineStr">
        <is>
          <t>Labels</t>
        </is>
      </c>
      <c r="H106" s="7" t="inlineStr">
        <is>
          <t>Sales</t>
        </is>
      </c>
      <c r="I106" s="7" t="inlineStr">
        <is>
          <t>West</t>
        </is>
      </c>
      <c r="J106" s="7" t="n">
        <v>35</v>
      </c>
      <c r="K106" s="7" t="n">
        <v>360.89</v>
      </c>
      <c r="L106" s="7" t="n">
        <v>12631.24</v>
      </c>
      <c r="M106" s="7" t="inlineStr">
        <is>
          <t>Paid</t>
        </is>
      </c>
    </row>
    <row r="107">
      <c r="A107" s="7" t="inlineStr">
        <is>
          <t>PO-00422</t>
        </is>
      </c>
      <c r="B107" s="9" t="n">
        <v>45723</v>
      </c>
      <c r="C107" s="7" t="inlineStr">
        <is>
          <t>Purchase Order</t>
        </is>
      </c>
      <c r="D107" s="7" t="inlineStr">
        <is>
          <t>SUP012</t>
        </is>
      </c>
      <c r="E107" s="7" t="inlineStr">
        <is>
          <t>Pioneer Hardware</t>
        </is>
      </c>
      <c r="F107" s="7" t="inlineStr">
        <is>
          <t>Maintenance</t>
        </is>
      </c>
      <c r="G107" s="7" t="inlineStr">
        <is>
          <t>Tools and supplies</t>
        </is>
      </c>
      <c r="H107" s="7" t="inlineStr">
        <is>
          <t>Technology</t>
        </is>
      </c>
      <c r="I107" s="7" t="inlineStr">
        <is>
          <t>North</t>
        </is>
      </c>
      <c r="J107" s="7" t="n">
        <v>98</v>
      </c>
      <c r="K107" s="7" t="n">
        <v>148.71</v>
      </c>
      <c r="L107" s="7" t="n">
        <v>14573.19</v>
      </c>
      <c r="M107" s="7" t="inlineStr">
        <is>
          <t>Paid</t>
        </is>
      </c>
    </row>
    <row r="108">
      <c r="A108" s="7" t="inlineStr">
        <is>
          <t>PO-00063</t>
        </is>
      </c>
      <c r="B108" s="9" t="n">
        <v>45723</v>
      </c>
      <c r="C108" s="7" t="inlineStr">
        <is>
          <t>Goods Receipt</t>
        </is>
      </c>
      <c r="D108" s="7" t="inlineStr">
        <is>
          <t>SUP010</t>
        </is>
      </c>
      <c r="E108" s="7" t="inlineStr">
        <is>
          <t>Urban Energy Solutions</t>
        </is>
      </c>
      <c r="F108" s="7" t="inlineStr">
        <is>
          <t>Utilities</t>
        </is>
      </c>
      <c r="G108" s="7" t="inlineStr">
        <is>
          <t>Natural gas</t>
        </is>
      </c>
      <c r="H108" s="7" t="inlineStr">
        <is>
          <t>Corporate</t>
        </is>
      </c>
      <c r="I108" s="7" t="inlineStr">
        <is>
          <t>North</t>
        </is>
      </c>
      <c r="J108" s="7" t="n">
        <v>76</v>
      </c>
      <c r="K108" s="7" t="n">
        <v>214.95</v>
      </c>
      <c r="L108" s="7" t="n">
        <v>16335.89</v>
      </c>
      <c r="M108" s="7" t="inlineStr">
        <is>
          <t>Overdue</t>
        </is>
      </c>
    </row>
    <row r="109">
      <c r="A109" s="7" t="inlineStr">
        <is>
          <t>PO-00544</t>
        </is>
      </c>
      <c r="B109" s="9" t="n">
        <v>45725</v>
      </c>
      <c r="C109" s="7" t="inlineStr">
        <is>
          <t>Invoice</t>
        </is>
      </c>
      <c r="D109" s="7" t="inlineStr">
        <is>
          <t>SUP010</t>
        </is>
      </c>
      <c r="E109" s="7" t="inlineStr">
        <is>
          <t>Urban Energy Solutions</t>
        </is>
      </c>
      <c r="F109" s="7" t="inlineStr">
        <is>
          <t>Utilities</t>
        </is>
      </c>
      <c r="G109" s="7" t="inlineStr">
        <is>
          <t>Electricity</t>
        </is>
      </c>
      <c r="H109" s="7" t="inlineStr">
        <is>
          <t>Manufacturing</t>
        </is>
      </c>
      <c r="I109" s="7" t="inlineStr">
        <is>
          <t>West</t>
        </is>
      </c>
      <c r="J109" s="7" t="n">
        <v>93</v>
      </c>
      <c r="K109" s="7" t="n">
        <v>157.83</v>
      </c>
      <c r="L109" s="7" t="n">
        <v>14677.73</v>
      </c>
      <c r="M109" s="7" t="inlineStr">
        <is>
          <t>Pending</t>
        </is>
      </c>
    </row>
    <row r="110">
      <c r="A110" s="7" t="inlineStr">
        <is>
          <t>PO-00433</t>
        </is>
      </c>
      <c r="B110" s="9" t="n">
        <v>45725</v>
      </c>
      <c r="C110" s="7" t="inlineStr">
        <is>
          <t>Purchase Order</t>
        </is>
      </c>
      <c r="D110" s="7" t="inlineStr">
        <is>
          <t>SUP004</t>
        </is>
      </c>
      <c r="E110" s="7" t="inlineStr">
        <is>
          <t>North Star IT Svc</t>
        </is>
      </c>
      <c r="F110" s="7" t="inlineStr">
        <is>
          <t>IT Services</t>
        </is>
      </c>
      <c r="G110" s="7" t="inlineStr">
        <is>
          <t>Cloud services</t>
        </is>
      </c>
      <c r="H110" s="7" t="inlineStr">
        <is>
          <t>Corporate</t>
        </is>
      </c>
      <c r="I110" s="7" t="inlineStr">
        <is>
          <t>West</t>
        </is>
      </c>
      <c r="J110" s="7" t="n">
        <v>22</v>
      </c>
      <c r="K110" s="7" t="n">
        <v>824.01</v>
      </c>
      <c r="L110" s="7" t="n">
        <v>18128.3</v>
      </c>
      <c r="M110" s="7" t="inlineStr">
        <is>
          <t>Overdue</t>
        </is>
      </c>
    </row>
    <row r="111">
      <c r="A111" s="7" t="inlineStr">
        <is>
          <t>PO-00328</t>
        </is>
      </c>
      <c r="B111" s="9" t="n">
        <v>45725</v>
      </c>
      <c r="C111" s="7" t="inlineStr">
        <is>
          <t>Invoice</t>
        </is>
      </c>
      <c r="D111" s="7" t="inlineStr">
        <is>
          <t>SUP011</t>
        </is>
      </c>
      <c r="E111" s="7" t="inlineStr">
        <is>
          <t>Vertex Marketing</t>
        </is>
      </c>
      <c r="F111" s="7" t="inlineStr">
        <is>
          <t>Marketing</t>
        </is>
      </c>
      <c r="G111" s="7" t="inlineStr">
        <is>
          <t>Digital campaign</t>
        </is>
      </c>
      <c r="H111" s="7" t="inlineStr">
        <is>
          <t>Technology</t>
        </is>
      </c>
      <c r="I111" s="7" t="inlineStr">
        <is>
          <t>East</t>
        </is>
      </c>
      <c r="J111" s="7" t="n">
        <v>113</v>
      </c>
      <c r="K111" s="7" t="n">
        <v>139.42</v>
      </c>
      <c r="L111" s="7" t="n">
        <v>15754.69</v>
      </c>
      <c r="M111" s="7" t="inlineStr">
        <is>
          <t>Paid</t>
        </is>
      </c>
    </row>
    <row r="112">
      <c r="A112" s="7" t="inlineStr">
        <is>
          <t>PO-00242</t>
        </is>
      </c>
      <c r="B112" s="9" t="n">
        <v>45726</v>
      </c>
      <c r="C112" s="7" t="inlineStr">
        <is>
          <t>Invoice</t>
        </is>
      </c>
      <c r="D112" s="7" t="inlineStr">
        <is>
          <t>SUP008</t>
        </is>
      </c>
      <c r="E112" s="7" t="inlineStr">
        <is>
          <t>GreenLeaf Packaging</t>
        </is>
      </c>
      <c r="F112" s="7" t="inlineStr">
        <is>
          <t>Packaging</t>
        </is>
      </c>
      <c r="G112" s="7" t="inlineStr">
        <is>
          <t>Protective packaging</t>
        </is>
      </c>
      <c r="H112" s="7" t="inlineStr">
        <is>
          <t>Manufacturing</t>
        </is>
      </c>
      <c r="I112" s="7" t="inlineStr">
        <is>
          <t>West</t>
        </is>
      </c>
      <c r="J112" s="7" t="n">
        <v>78</v>
      </c>
      <c r="K112" s="7" t="n">
        <v>172.94</v>
      </c>
      <c r="L112" s="7" t="n">
        <v>13489.5</v>
      </c>
      <c r="M112" s="7" t="inlineStr">
        <is>
          <t>Overdue</t>
        </is>
      </c>
    </row>
    <row r="113">
      <c r="A113" s="7" t="inlineStr">
        <is>
          <t>PO-00517</t>
        </is>
      </c>
      <c r="B113" s="9" t="n">
        <v>45726</v>
      </c>
      <c r="C113" s="7" t="inlineStr">
        <is>
          <t>Purchase Order</t>
        </is>
      </c>
      <c r="D113" s="7" t="inlineStr">
        <is>
          <t>SUP005</t>
        </is>
      </c>
      <c r="E113" s="7" t="inlineStr">
        <is>
          <t>Metro Logistics</t>
        </is>
      </c>
      <c r="F113" s="7" t="inlineStr">
        <is>
          <t>Logistics</t>
        </is>
      </c>
      <c r="G113" s="7" t="inlineStr">
        <is>
          <t>Courier services</t>
        </is>
      </c>
      <c r="H113" s="7" t="inlineStr">
        <is>
          <t>Manufacturing</t>
        </is>
      </c>
      <c r="I113" s="7" t="inlineStr">
        <is>
          <t>West</t>
        </is>
      </c>
      <c r="J113" s="7" t="n">
        <v>110</v>
      </c>
      <c r="K113" s="7" t="n">
        <v>66.09999999999999</v>
      </c>
      <c r="L113" s="7" t="n">
        <v>7271.46</v>
      </c>
      <c r="M113" s="7" t="inlineStr">
        <is>
          <t>Pending</t>
        </is>
      </c>
    </row>
    <row r="114">
      <c r="A114" s="7" t="inlineStr">
        <is>
          <t>PO-00333</t>
        </is>
      </c>
      <c r="B114" s="9" t="n">
        <v>45726</v>
      </c>
      <c r="C114" s="7" t="inlineStr">
        <is>
          <t>Goods Receipt</t>
        </is>
      </c>
      <c r="D114" s="7" t="inlineStr">
        <is>
          <t>SUP011</t>
        </is>
      </c>
      <c r="E114" s="7" t="inlineStr">
        <is>
          <t>Vertex Marketing</t>
        </is>
      </c>
      <c r="F114" s="7" t="inlineStr">
        <is>
          <t>Marketing</t>
        </is>
      </c>
      <c r="G114" s="7" t="inlineStr">
        <is>
          <t>Digital campaign</t>
        </is>
      </c>
      <c r="H114" s="7" t="inlineStr">
        <is>
          <t>Manufacturing</t>
        </is>
      </c>
      <c r="I114" s="7" t="inlineStr">
        <is>
          <t>South</t>
        </is>
      </c>
      <c r="J114" s="7" t="n">
        <v>68</v>
      </c>
      <c r="K114" s="7" t="n">
        <v>39.33</v>
      </c>
      <c r="L114" s="7" t="n">
        <v>2674.21</v>
      </c>
      <c r="M114" s="7" t="inlineStr">
        <is>
          <t>Pending</t>
        </is>
      </c>
    </row>
    <row r="115">
      <c r="A115" s="7" t="inlineStr">
        <is>
          <t>PO-00319</t>
        </is>
      </c>
      <c r="B115" s="9" t="n">
        <v>45729</v>
      </c>
      <c r="C115" s="7" t="inlineStr">
        <is>
          <t>Invoice</t>
        </is>
      </c>
      <c r="D115" s="7" t="inlineStr">
        <is>
          <t>SUP004</t>
        </is>
      </c>
      <c r="E115" s="7" t="inlineStr">
        <is>
          <t>North Star IT Svc</t>
        </is>
      </c>
      <c r="F115" s="7" t="inlineStr">
        <is>
          <t>IT Services</t>
        </is>
      </c>
      <c r="G115" s="7" t="inlineStr">
        <is>
          <t>IT consulting</t>
        </is>
      </c>
      <c r="H115" s="7" t="inlineStr">
        <is>
          <t>Technology</t>
        </is>
      </c>
      <c r="I115" s="7" t="inlineStr">
        <is>
          <t>South</t>
        </is>
      </c>
      <c r="J115" s="7" t="n">
        <v>73</v>
      </c>
      <c r="K115" s="7" t="n">
        <v>338.17</v>
      </c>
      <c r="L115" s="7" t="n">
        <v>24686.17</v>
      </c>
      <c r="M115" s="7" t="inlineStr">
        <is>
          <t>Pending</t>
        </is>
      </c>
    </row>
    <row r="116">
      <c r="A116" s="7" t="inlineStr">
        <is>
          <t>PO-00383</t>
        </is>
      </c>
      <c r="B116" s="9" t="n">
        <v>45730</v>
      </c>
      <c r="C116" s="7" t="inlineStr">
        <is>
          <t>Purchase Order</t>
        </is>
      </c>
      <c r="D116" s="7" t="inlineStr">
        <is>
          <t>SUP006</t>
        </is>
      </c>
      <c r="E116" s="7" t="inlineStr">
        <is>
          <t>Metro Logistics Pvt Ltd</t>
        </is>
      </c>
      <c r="F116" s="7" t="inlineStr">
        <is>
          <t>Logistics</t>
        </is>
      </c>
      <c r="G116" s="7" t="inlineStr">
        <is>
          <t>Warehouse handling</t>
        </is>
      </c>
      <c r="H116" s="7" t="inlineStr">
        <is>
          <t>Corporate</t>
        </is>
      </c>
      <c r="I116" s="7" t="inlineStr">
        <is>
          <t>East</t>
        </is>
      </c>
      <c r="J116" s="7" t="n">
        <v>41</v>
      </c>
      <c r="K116" s="7" t="n">
        <v>181.42</v>
      </c>
      <c r="L116" s="7" t="n">
        <v>7438.12</v>
      </c>
      <c r="M116" s="7" t="inlineStr">
        <is>
          <t>Pending</t>
        </is>
      </c>
    </row>
    <row r="117">
      <c r="A117" s="7" t="inlineStr">
        <is>
          <t>PO-00310</t>
        </is>
      </c>
      <c r="B117" s="9" t="n">
        <v>45730</v>
      </c>
      <c r="C117" s="7" t="inlineStr">
        <is>
          <t>Invoice</t>
        </is>
      </c>
      <c r="D117" s="7" t="inlineStr">
        <is>
          <t>SUP009</t>
        </is>
      </c>
      <c r="E117" s="7" t="inlineStr">
        <is>
          <t>Summit Consulting</t>
        </is>
      </c>
      <c r="F117" s="7" t="inlineStr">
        <is>
          <t>Professional Services</t>
        </is>
      </c>
      <c r="G117" s="7" t="inlineStr">
        <is>
          <t>Training services</t>
        </is>
      </c>
      <c r="H117" s="7" t="inlineStr">
        <is>
          <t>Operations</t>
        </is>
      </c>
      <c r="I117" s="7" t="inlineStr">
        <is>
          <t>West</t>
        </is>
      </c>
      <c r="J117" s="7" t="n">
        <v>74</v>
      </c>
      <c r="K117" s="7" t="n">
        <v>247.74</v>
      </c>
      <c r="L117" s="7" t="n">
        <v>18332.96</v>
      </c>
      <c r="M117" s="7" t="inlineStr">
        <is>
          <t>Overdue</t>
        </is>
      </c>
    </row>
    <row r="118">
      <c r="A118" s="7" t="inlineStr">
        <is>
          <t>PO-00146</t>
        </is>
      </c>
      <c r="B118" s="9" t="n">
        <v>45731</v>
      </c>
      <c r="C118" s="7" t="inlineStr">
        <is>
          <t>Goods Receipt</t>
        </is>
      </c>
      <c r="D118" s="7" t="inlineStr">
        <is>
          <t>SUP010</t>
        </is>
      </c>
      <c r="E118" s="7" t="inlineStr">
        <is>
          <t>Urban Energy Solutions</t>
        </is>
      </c>
      <c r="F118" s="7" t="inlineStr">
        <is>
          <t>Utilities</t>
        </is>
      </c>
      <c r="G118" s="7" t="inlineStr">
        <is>
          <t>Electricity</t>
        </is>
      </c>
      <c r="H118" s="7" t="inlineStr">
        <is>
          <t>Corporate</t>
        </is>
      </c>
      <c r="I118" s="7" t="inlineStr">
        <is>
          <t>South</t>
        </is>
      </c>
      <c r="J118" s="7" t="n">
        <v>95</v>
      </c>
      <c r="K118" s="7" t="n">
        <v>14.36</v>
      </c>
      <c r="L118" s="7" t="n">
        <v>1364.19</v>
      </c>
      <c r="M118" s="7" t="inlineStr">
        <is>
          <t>Pending</t>
        </is>
      </c>
    </row>
    <row r="119">
      <c r="A119" s="7" t="inlineStr">
        <is>
          <t>PO-00112</t>
        </is>
      </c>
      <c r="B119" s="9" t="n">
        <v>45732</v>
      </c>
      <c r="C119" s="7" t="inlineStr">
        <is>
          <t>Purchase Order</t>
        </is>
      </c>
      <c r="D119" s="7" t="inlineStr">
        <is>
          <t>SUP004</t>
        </is>
      </c>
      <c r="E119" s="7" t="inlineStr">
        <is>
          <t>North Star IT Svc</t>
        </is>
      </c>
      <c r="F119" s="7" t="inlineStr">
        <is>
          <t>IT Services</t>
        </is>
      </c>
      <c r="G119" s="7" t="inlineStr">
        <is>
          <t>Software support</t>
        </is>
      </c>
      <c r="H119" s="7" t="inlineStr">
        <is>
          <t>Operations</t>
        </is>
      </c>
      <c r="I119" s="7" t="inlineStr">
        <is>
          <t>North</t>
        </is>
      </c>
      <c r="J119" s="7" t="n">
        <v>102</v>
      </c>
      <c r="K119" s="7" t="n">
        <v>170.65</v>
      </c>
      <c r="L119" s="7" t="n">
        <v>17405.95</v>
      </c>
      <c r="M119" s="7" t="inlineStr">
        <is>
          <t>Overdue</t>
        </is>
      </c>
    </row>
    <row r="120">
      <c r="A120" s="7" t="inlineStr">
        <is>
          <t>PO-00053</t>
        </is>
      </c>
      <c r="B120" s="9" t="n">
        <v>45733</v>
      </c>
      <c r="C120" s="7" t="inlineStr">
        <is>
          <t>Purchase Order</t>
        </is>
      </c>
      <c r="D120" s="7" t="inlineStr">
        <is>
          <t>SUP001</t>
        </is>
      </c>
      <c r="E120" s="7" t="inlineStr">
        <is>
          <t>Apex Office Supplies</t>
        </is>
      </c>
      <c r="F120" s="7" t="inlineStr">
        <is>
          <t>Marketing</t>
        </is>
      </c>
      <c r="G120" s="7" t="inlineStr">
        <is>
          <t>Print advertising</t>
        </is>
      </c>
      <c r="H120" s="7" t="inlineStr">
        <is>
          <t>Sales</t>
        </is>
      </c>
      <c r="I120" s="7" t="inlineStr">
        <is>
          <t>South</t>
        </is>
      </c>
      <c r="J120" s="7" t="n">
        <v>99</v>
      </c>
      <c r="K120" s="7" t="n">
        <v>111.61</v>
      </c>
      <c r="L120" s="7" t="n">
        <v>11049.58</v>
      </c>
      <c r="M120" s="7" t="inlineStr">
        <is>
          <t>Overdue</t>
        </is>
      </c>
    </row>
    <row r="121">
      <c r="A121" s="7" t="inlineStr">
        <is>
          <t>PO-00258</t>
        </is>
      </c>
      <c r="B121" s="9" t="n">
        <v>45734</v>
      </c>
      <c r="C121" s="7" t="inlineStr">
        <is>
          <t>Purchase Order</t>
        </is>
      </c>
      <c r="D121" s="7" t="inlineStr">
        <is>
          <t>SUP005</t>
        </is>
      </c>
      <c r="E121" s="7" t="inlineStr">
        <is>
          <t>Metro Logistics</t>
        </is>
      </c>
      <c r="F121" s="7" t="inlineStr">
        <is>
          <t>Logistics</t>
        </is>
      </c>
      <c r="G121" s="7" t="inlineStr">
        <is>
          <t>Freight services</t>
        </is>
      </c>
      <c r="H121" s="7" t="inlineStr">
        <is>
          <t>Technology</t>
        </is>
      </c>
      <c r="I121" s="7" t="inlineStr">
        <is>
          <t>South</t>
        </is>
      </c>
      <c r="J121" s="7" t="n">
        <v>61</v>
      </c>
      <c r="K121" s="7" t="n">
        <v>379.27</v>
      </c>
      <c r="L121" s="7" t="n">
        <v>23135.23</v>
      </c>
      <c r="M121" s="7" t="inlineStr">
        <is>
          <t>Pending</t>
        </is>
      </c>
    </row>
    <row r="122">
      <c r="A122" s="7" t="inlineStr">
        <is>
          <t>PO-00090</t>
        </is>
      </c>
      <c r="B122" s="9" t="n">
        <v>45734</v>
      </c>
      <c r="C122" s="7" t="inlineStr">
        <is>
          <t>Invoice</t>
        </is>
      </c>
      <c r="D122" s="7" t="inlineStr">
        <is>
          <t>SUP005</t>
        </is>
      </c>
      <c r="E122" s="7" t="inlineStr">
        <is>
          <t>Metro Logistics</t>
        </is>
      </c>
      <c r="F122" s="7" t="inlineStr">
        <is>
          <t>Logistics</t>
        </is>
      </c>
      <c r="G122" s="7" t="inlineStr">
        <is>
          <t>Warehouse handling</t>
        </is>
      </c>
      <c r="H122" s="7" t="inlineStr">
        <is>
          <t>Manufacturing</t>
        </is>
      </c>
      <c r="I122" s="7" t="inlineStr">
        <is>
          <t>East</t>
        </is>
      </c>
      <c r="J122" s="7" t="n">
        <v>22</v>
      </c>
      <c r="K122" s="7" t="n">
        <v>107.94</v>
      </c>
      <c r="L122" s="7" t="n">
        <v>2374.57</v>
      </c>
      <c r="M122" s="7" t="inlineStr">
        <is>
          <t>Pending</t>
        </is>
      </c>
    </row>
    <row r="123">
      <c r="A123" s="7" t="inlineStr">
        <is>
          <t>PO-00059</t>
        </is>
      </c>
      <c r="B123" s="9" t="n">
        <v>45735</v>
      </c>
      <c r="C123" s="7" t="inlineStr">
        <is>
          <t>Purchase Order</t>
        </is>
      </c>
      <c r="D123" s="7" t="inlineStr">
        <is>
          <t>SUP004</t>
        </is>
      </c>
      <c r="E123" s="7" t="inlineStr">
        <is>
          <t>North Star IT Svc</t>
        </is>
      </c>
      <c r="F123" s="7" t="inlineStr">
        <is>
          <t>IT Services</t>
        </is>
      </c>
      <c r="G123" s="7" t="inlineStr">
        <is>
          <t>Cloud services</t>
        </is>
      </c>
      <c r="H123" s="7" t="inlineStr">
        <is>
          <t>Sales</t>
        </is>
      </c>
      <c r="I123" s="7" t="inlineStr">
        <is>
          <t>East</t>
        </is>
      </c>
      <c r="J123" s="7" t="n">
        <v>28</v>
      </c>
      <c r="K123" s="7" t="n">
        <v>173.17</v>
      </c>
      <c r="L123" s="7" t="n">
        <v>4848.67</v>
      </c>
      <c r="M123" s="7" t="inlineStr">
        <is>
          <t>Overdue</t>
        </is>
      </c>
    </row>
    <row r="124">
      <c r="A124" s="7" t="inlineStr">
        <is>
          <t>PO-00203</t>
        </is>
      </c>
      <c r="B124" s="9" t="n">
        <v>45736</v>
      </c>
      <c r="C124" s="7" t="inlineStr">
        <is>
          <t>Purchase Order</t>
        </is>
      </c>
      <c r="D124" s="7" t="inlineStr">
        <is>
          <t>SUP005</t>
        </is>
      </c>
      <c r="E124" s="7" t="inlineStr">
        <is>
          <t>Metro Logistics</t>
        </is>
      </c>
      <c r="F124" s="7" t="inlineStr">
        <is>
          <t>Logistics</t>
        </is>
      </c>
      <c r="G124" s="7" t="inlineStr">
        <is>
          <t>Courier services</t>
        </is>
      </c>
      <c r="H124" s="7" t="inlineStr">
        <is>
          <t>Manufacturing</t>
        </is>
      </c>
      <c r="I124" s="7" t="inlineStr">
        <is>
          <t>East</t>
        </is>
      </c>
      <c r="J124" s="7" t="n">
        <v>91</v>
      </c>
      <c r="K124" s="7" t="n">
        <v>110.02</v>
      </c>
      <c r="L124" s="7" t="n">
        <v>10011.6</v>
      </c>
      <c r="M124" s="7" t="inlineStr">
        <is>
          <t>Paid</t>
        </is>
      </c>
    </row>
    <row r="125">
      <c r="A125" s="7" t="inlineStr">
        <is>
          <t>PO-00004</t>
        </is>
      </c>
      <c r="B125" s="9" t="n">
        <v>45737</v>
      </c>
      <c r="C125" s="7" t="inlineStr">
        <is>
          <t>Invoice</t>
        </is>
      </c>
      <c r="D125" s="7" t="inlineStr">
        <is>
          <t>SUP004</t>
        </is>
      </c>
      <c r="E125" s="7" t="inlineStr">
        <is>
          <t>North Star IT Svc</t>
        </is>
      </c>
      <c r="F125" s="7" t="inlineStr">
        <is>
          <t>IT Services</t>
        </is>
      </c>
      <c r="G125" s="7" t="inlineStr">
        <is>
          <t>Software support</t>
        </is>
      </c>
      <c r="H125" s="7" t="inlineStr">
        <is>
          <t>Technology</t>
        </is>
      </c>
      <c r="I125" s="7" t="inlineStr">
        <is>
          <t>East</t>
        </is>
      </c>
      <c r="J125" s="7" t="n">
        <v>12</v>
      </c>
      <c r="K125" s="7" t="n">
        <v>869.59</v>
      </c>
      <c r="L125" s="7" t="n">
        <v>10435.13</v>
      </c>
      <c r="M125" s="7" t="inlineStr">
        <is>
          <t>Overdue</t>
        </is>
      </c>
    </row>
    <row r="126">
      <c r="A126" s="7" t="inlineStr">
        <is>
          <t>PO-00148</t>
        </is>
      </c>
      <c r="B126" s="9" t="n">
        <v>45737</v>
      </c>
      <c r="C126" s="7" t="inlineStr">
        <is>
          <t>Invoice</t>
        </is>
      </c>
      <c r="D126" s="7" t="inlineStr">
        <is>
          <t>SUP003</t>
        </is>
      </c>
      <c r="E126" s="7" t="inlineStr">
        <is>
          <t>Northstar IT Services</t>
        </is>
      </c>
      <c r="F126" s="7" t="inlineStr">
        <is>
          <t>IT Services</t>
        </is>
      </c>
      <c r="G126" s="7" t="inlineStr">
        <is>
          <t>Cloud services</t>
        </is>
      </c>
      <c r="H126" s="7" t="inlineStr">
        <is>
          <t>Sales</t>
        </is>
      </c>
      <c r="I126" s="7" t="inlineStr">
        <is>
          <t>West</t>
        </is>
      </c>
      <c r="J126" s="7" t="n">
        <v>11</v>
      </c>
      <c r="K126" s="7" t="n">
        <v>156.05</v>
      </c>
      <c r="L126" s="7" t="n">
        <v>1716.58</v>
      </c>
      <c r="M126" s="7" t="inlineStr">
        <is>
          <t>Overdue</t>
        </is>
      </c>
    </row>
    <row r="127">
      <c r="A127" s="7" t="inlineStr">
        <is>
          <t>PO-00348</t>
        </is>
      </c>
      <c r="B127" s="9" t="n">
        <v>45738</v>
      </c>
      <c r="C127" s="7" t="inlineStr">
        <is>
          <t>Goods Receipt</t>
        </is>
      </c>
      <c r="D127" s="7" t="inlineStr">
        <is>
          <t>SUP005</t>
        </is>
      </c>
      <c r="E127" s="7" t="inlineStr">
        <is>
          <t>Metro Logistics</t>
        </is>
      </c>
      <c r="F127" s="7" t="inlineStr">
        <is>
          <t>Logistics</t>
        </is>
      </c>
      <c r="G127" s="7" t="inlineStr">
        <is>
          <t>Freight services</t>
        </is>
      </c>
      <c r="H127" s="7" t="inlineStr">
        <is>
          <t>Operations</t>
        </is>
      </c>
      <c r="I127" s="7" t="inlineStr">
        <is>
          <t>North</t>
        </is>
      </c>
      <c r="J127" s="7" t="n">
        <v>87</v>
      </c>
      <c r="K127" s="7" t="n">
        <v>314.78</v>
      </c>
      <c r="L127" s="7" t="n">
        <v>27386.18</v>
      </c>
      <c r="M127" s="7" t="inlineStr">
        <is>
          <t>Paid</t>
        </is>
      </c>
    </row>
    <row r="128">
      <c r="A128" s="7" t="inlineStr">
        <is>
          <t>PO-00232</t>
        </is>
      </c>
      <c r="B128" s="9" t="n">
        <v>45738</v>
      </c>
      <c r="C128" s="7" t="inlineStr">
        <is>
          <t>Invoice</t>
        </is>
      </c>
      <c r="D128" s="7" t="inlineStr">
        <is>
          <t>SUP007</t>
        </is>
      </c>
      <c r="E128" s="7" t="inlineStr">
        <is>
          <t>BrightClean Facilities</t>
        </is>
      </c>
      <c r="F128" s="7" t="inlineStr">
        <is>
          <t>Facilities</t>
        </is>
      </c>
      <c r="G128" s="7" t="inlineStr">
        <is>
          <t>Security services</t>
        </is>
      </c>
      <c r="H128" s="7" t="inlineStr">
        <is>
          <t>Operations</t>
        </is>
      </c>
      <c r="I128" s="7" t="inlineStr">
        <is>
          <t>East</t>
        </is>
      </c>
      <c r="J128" s="7" t="n">
        <v>61</v>
      </c>
      <c r="K128" s="7" t="n">
        <v>260.1</v>
      </c>
      <c r="L128" s="7" t="n">
        <v>15865.98</v>
      </c>
      <c r="M128" s="7" t="inlineStr">
        <is>
          <t>Pending</t>
        </is>
      </c>
    </row>
    <row r="129">
      <c r="A129" s="7" t="inlineStr">
        <is>
          <t>PO-00486</t>
        </is>
      </c>
      <c r="B129" s="9" t="n">
        <v>45738</v>
      </c>
      <c r="C129" s="7" t="inlineStr">
        <is>
          <t>Goods Receipt</t>
        </is>
      </c>
      <c r="D129" s="7" t="inlineStr">
        <is>
          <t>SUP009</t>
        </is>
      </c>
      <c r="E129" s="7" t="inlineStr">
        <is>
          <t>Summit Consulting</t>
        </is>
      </c>
      <c r="F129" s="7" t="inlineStr">
        <is>
          <t>Professional Services</t>
        </is>
      </c>
      <c r="G129" s="7" t="inlineStr">
        <is>
          <t>Training services</t>
        </is>
      </c>
      <c r="H129" s="7" t="inlineStr">
        <is>
          <t>Operations</t>
        </is>
      </c>
      <c r="I129" s="7" t="inlineStr">
        <is>
          <t>East</t>
        </is>
      </c>
      <c r="J129" s="7" t="n">
        <v>102</v>
      </c>
      <c r="K129" s="7" t="n">
        <v>224.53</v>
      </c>
      <c r="L129" s="7" t="n">
        <v>22902.33</v>
      </c>
      <c r="M129" s="7" t="inlineStr">
        <is>
          <t>Overdue</t>
        </is>
      </c>
    </row>
    <row r="130">
      <c r="A130" s="7" t="inlineStr">
        <is>
          <t>PO-00450</t>
        </is>
      </c>
      <c r="B130" s="9" t="n">
        <v>45738</v>
      </c>
      <c r="C130" s="7" t="inlineStr">
        <is>
          <t>Purchase Order</t>
        </is>
      </c>
      <c r="D130" s="7" t="inlineStr">
        <is>
          <t>SUP009</t>
        </is>
      </c>
      <c r="E130" s="7" t="inlineStr">
        <is>
          <t>Summit Consulting</t>
        </is>
      </c>
      <c r="F130" s="7" t="inlineStr">
        <is>
          <t>Professional Services</t>
        </is>
      </c>
      <c r="G130" s="7" t="inlineStr">
        <is>
          <t>Business consulting</t>
        </is>
      </c>
      <c r="H130" s="7" t="inlineStr">
        <is>
          <t>Sales</t>
        </is>
      </c>
      <c r="I130" s="7" t="inlineStr">
        <is>
          <t>East</t>
        </is>
      </c>
      <c r="J130" s="7" t="n">
        <v>112</v>
      </c>
      <c r="K130" s="7" t="n">
        <v>233.01</v>
      </c>
      <c r="L130" s="7" t="n">
        <v>26097.48</v>
      </c>
      <c r="M130" s="7" t="inlineStr">
        <is>
          <t>Paid</t>
        </is>
      </c>
    </row>
    <row r="131">
      <c r="A131" s="7" t="inlineStr">
        <is>
          <t>PO-00590</t>
        </is>
      </c>
      <c r="B131" s="9" t="n">
        <v>45738</v>
      </c>
      <c r="C131" s="7" t="inlineStr">
        <is>
          <t>Invoice</t>
        </is>
      </c>
      <c r="D131" s="7" t="inlineStr">
        <is>
          <t>SUP009</t>
        </is>
      </c>
      <c r="E131" s="7" t="inlineStr">
        <is>
          <t>Summit Consulting</t>
        </is>
      </c>
      <c r="F131" s="7" t="inlineStr">
        <is>
          <t>Professional Services</t>
        </is>
      </c>
      <c r="G131" s="7" t="inlineStr">
        <is>
          <t>Audit support</t>
        </is>
      </c>
      <c r="H131" s="7" t="inlineStr">
        <is>
          <t>Technology</t>
        </is>
      </c>
      <c r="I131" s="7" t="inlineStr">
        <is>
          <t>East</t>
        </is>
      </c>
      <c r="J131" s="7" t="n">
        <v>46</v>
      </c>
      <c r="K131" s="7" t="n">
        <v>297.17</v>
      </c>
      <c r="L131" s="7" t="n">
        <v>13669.8</v>
      </c>
      <c r="M131" s="7" t="inlineStr">
        <is>
          <t>Pending</t>
        </is>
      </c>
    </row>
    <row r="132">
      <c r="A132" s="7" t="inlineStr">
        <is>
          <t>PO-00475</t>
        </is>
      </c>
      <c r="B132" s="9" t="n">
        <v>45739</v>
      </c>
      <c r="C132" s="7" t="inlineStr">
        <is>
          <t>Purchase Order</t>
        </is>
      </c>
      <c r="D132" s="7" t="inlineStr">
        <is>
          <t>SUP007</t>
        </is>
      </c>
      <c r="E132" s="7" t="inlineStr">
        <is>
          <t>BrightClean Facilities</t>
        </is>
      </c>
      <c r="F132" s="7" t="inlineStr">
        <is>
          <t>Facilities</t>
        </is>
      </c>
      <c r="G132" s="7" t="inlineStr">
        <is>
          <t>Cleaning services</t>
        </is>
      </c>
      <c r="H132" s="7" t="inlineStr">
        <is>
          <t>Technology</t>
        </is>
      </c>
      <c r="I132" s="7" t="inlineStr">
        <is>
          <t>East</t>
        </is>
      </c>
      <c r="J132" s="7" t="n">
        <v>45</v>
      </c>
      <c r="K132" s="7" t="n">
        <v>162.96</v>
      </c>
      <c r="L132" s="7" t="n">
        <v>7333.1</v>
      </c>
      <c r="M132" s="7" t="inlineStr">
        <is>
          <t>Pending</t>
        </is>
      </c>
    </row>
    <row r="133">
      <c r="A133" s="7" t="inlineStr">
        <is>
          <t>PO-00212</t>
        </is>
      </c>
      <c r="B133" s="9" t="n">
        <v>45739</v>
      </c>
      <c r="C133" s="7" t="inlineStr">
        <is>
          <t>Invoice</t>
        </is>
      </c>
      <c r="D133" s="7" t="inlineStr">
        <is>
          <t>SUP008</t>
        </is>
      </c>
      <c r="E133" s="7" t="inlineStr">
        <is>
          <t>GreenLeaf Packaging</t>
        </is>
      </c>
      <c r="F133" s="7" t="inlineStr">
        <is>
          <t>Packaging</t>
        </is>
      </c>
      <c r="G133" s="7" t="inlineStr">
        <is>
          <t>Protective packaging</t>
        </is>
      </c>
      <c r="H133" s="7" t="inlineStr">
        <is>
          <t>Corporate</t>
        </is>
      </c>
      <c r="I133" s="7" t="inlineStr">
        <is>
          <t>North</t>
        </is>
      </c>
      <c r="J133" s="7" t="n">
        <v>113</v>
      </c>
      <c r="K133" s="7" t="n">
        <v>74.93000000000001</v>
      </c>
      <c r="L133" s="7" t="n">
        <v>8466.65</v>
      </c>
      <c r="M133" s="7" t="inlineStr">
        <is>
          <t>Pending</t>
        </is>
      </c>
    </row>
    <row r="134">
      <c r="A134" s="7" t="inlineStr">
        <is>
          <t>PO-00501</t>
        </is>
      </c>
      <c r="B134" s="9" t="n">
        <v>45739</v>
      </c>
      <c r="C134" s="7" t="inlineStr">
        <is>
          <t>Purchase Order</t>
        </is>
      </c>
      <c r="D134" s="7" t="inlineStr">
        <is>
          <t>SUP003</t>
        </is>
      </c>
      <c r="E134" s="7" t="inlineStr">
        <is>
          <t>Northstar IT Services</t>
        </is>
      </c>
      <c r="F134" s="7" t="inlineStr">
        <is>
          <t>IT Services</t>
        </is>
      </c>
      <c r="G134" s="7" t="inlineStr">
        <is>
          <t>IT consulting</t>
        </is>
      </c>
      <c r="H134" s="7" t="inlineStr">
        <is>
          <t>Sales</t>
        </is>
      </c>
      <c r="I134" s="7" t="inlineStr">
        <is>
          <t>East</t>
        </is>
      </c>
      <c r="J134" s="7" t="n">
        <v>112</v>
      </c>
      <c r="K134" s="7" t="n">
        <v>155.38</v>
      </c>
      <c r="L134" s="7" t="n">
        <v>17402.44</v>
      </c>
      <c r="M134" s="7" t="inlineStr">
        <is>
          <t>Paid</t>
        </is>
      </c>
    </row>
    <row r="135">
      <c r="A135" s="7" t="inlineStr">
        <is>
          <t>PO-00175</t>
        </is>
      </c>
      <c r="B135" s="9" t="n">
        <v>45740</v>
      </c>
      <c r="C135" s="7" t="inlineStr">
        <is>
          <t>Invoice</t>
        </is>
      </c>
      <c r="D135" s="7" t="inlineStr">
        <is>
          <t>SUP005</t>
        </is>
      </c>
      <c r="E135" s="7" t="inlineStr">
        <is>
          <t>Metro Logistics</t>
        </is>
      </c>
      <c r="F135" s="7" t="inlineStr">
        <is>
          <t>Logistics</t>
        </is>
      </c>
      <c r="G135" s="7" t="inlineStr">
        <is>
          <t>Freight services</t>
        </is>
      </c>
      <c r="H135" s="7" t="inlineStr">
        <is>
          <t>Operations</t>
        </is>
      </c>
      <c r="I135" s="7" t="inlineStr">
        <is>
          <t>West</t>
        </is>
      </c>
      <c r="J135" s="7" t="n">
        <v>107</v>
      </c>
      <c r="K135" s="7" t="n">
        <v>147.74</v>
      </c>
      <c r="L135" s="7" t="n">
        <v>15807.87</v>
      </c>
      <c r="M135" s="7" t="inlineStr">
        <is>
          <t>Pending</t>
        </is>
      </c>
    </row>
    <row r="136">
      <c r="A136" s="7" t="inlineStr">
        <is>
          <t>PO-00411</t>
        </is>
      </c>
      <c r="B136" s="9" t="n">
        <v>45741</v>
      </c>
      <c r="C136" s="7" t="inlineStr">
        <is>
          <t>Purchase Order</t>
        </is>
      </c>
      <c r="D136" s="7" t="inlineStr">
        <is>
          <t>SUP005</t>
        </is>
      </c>
      <c r="E136" s="7" t="inlineStr">
        <is>
          <t>Metro Logistics</t>
        </is>
      </c>
      <c r="F136" s="7" t="inlineStr">
        <is>
          <t>Logistics</t>
        </is>
      </c>
      <c r="G136" s="7" t="inlineStr">
        <is>
          <t>Courier services</t>
        </is>
      </c>
      <c r="H136" s="7" t="inlineStr">
        <is>
          <t>Corporate</t>
        </is>
      </c>
      <c r="I136" s="7" t="inlineStr">
        <is>
          <t>South</t>
        </is>
      </c>
      <c r="J136" s="7" t="n">
        <v>37</v>
      </c>
      <c r="K136" s="7" t="n">
        <v>571.41</v>
      </c>
      <c r="L136" s="7" t="n">
        <v>21142.3</v>
      </c>
      <c r="M136" s="7" t="inlineStr">
        <is>
          <t>Overdue</t>
        </is>
      </c>
    </row>
    <row r="137">
      <c r="A137" s="7" t="inlineStr">
        <is>
          <t>PO-00019</t>
        </is>
      </c>
      <c r="B137" s="9" t="n">
        <v>45742</v>
      </c>
      <c r="C137" s="7" t="inlineStr">
        <is>
          <t>Goods Receipt</t>
        </is>
      </c>
      <c r="D137" s="7" t="inlineStr">
        <is>
          <t>SUP005</t>
        </is>
      </c>
      <c r="E137" s="7" t="inlineStr">
        <is>
          <t>Metro Logistics</t>
        </is>
      </c>
      <c r="F137" s="7" t="inlineStr">
        <is>
          <t>Logistics</t>
        </is>
      </c>
      <c r="G137" s="7" t="inlineStr">
        <is>
          <t>Warehouse handling</t>
        </is>
      </c>
      <c r="H137" s="7" t="inlineStr">
        <is>
          <t>Operations</t>
        </is>
      </c>
      <c r="I137" s="7" t="inlineStr">
        <is>
          <t>East</t>
        </is>
      </c>
      <c r="J137" s="7" t="n">
        <v>28</v>
      </c>
      <c r="K137" s="7" t="n">
        <v>665.79</v>
      </c>
      <c r="L137" s="7" t="n">
        <v>18642.03</v>
      </c>
      <c r="M137" s="7" t="inlineStr">
        <is>
          <t>Pending</t>
        </is>
      </c>
    </row>
    <row r="138">
      <c r="A138" s="7" t="inlineStr">
        <is>
          <t>PO-00510</t>
        </is>
      </c>
      <c r="B138" s="9" t="n">
        <v>45743</v>
      </c>
      <c r="C138" s="7" t="inlineStr">
        <is>
          <t>Goods Receipt</t>
        </is>
      </c>
      <c r="D138" s="7" t="inlineStr">
        <is>
          <t>SUP005</t>
        </is>
      </c>
      <c r="E138" s="7" t="inlineStr">
        <is>
          <t>Metro Logistics</t>
        </is>
      </c>
      <c r="F138" s="7" t="inlineStr">
        <is>
          <t>Logistics</t>
        </is>
      </c>
      <c r="G138" s="7" t="inlineStr">
        <is>
          <t>Warehouse handling</t>
        </is>
      </c>
      <c r="H138" s="7" t="inlineStr">
        <is>
          <t>Corporate</t>
        </is>
      </c>
      <c r="I138" s="7" t="inlineStr">
        <is>
          <t>East</t>
        </is>
      </c>
      <c r="J138" s="7" t="n">
        <v>52</v>
      </c>
      <c r="K138" s="7" t="n">
        <v>305.92</v>
      </c>
      <c r="L138" s="7" t="n">
        <v>15907.81</v>
      </c>
      <c r="M138" s="7" t="inlineStr">
        <is>
          <t>Paid</t>
        </is>
      </c>
    </row>
    <row r="139">
      <c r="A139" s="7" t="inlineStr">
        <is>
          <t>PO-00527</t>
        </is>
      </c>
      <c r="B139" s="9" t="n">
        <v>45744</v>
      </c>
      <c r="C139" s="7" t="inlineStr">
        <is>
          <t>Purchase Order</t>
        </is>
      </c>
      <c r="D139" s="7" t="inlineStr">
        <is>
          <t>SUP011</t>
        </is>
      </c>
      <c r="E139" s="7" t="inlineStr">
        <is>
          <t>Vertex Marketing</t>
        </is>
      </c>
      <c r="F139" s="7" t="inlineStr">
        <is>
          <t>Facilities</t>
        </is>
      </c>
      <c r="G139" s="7" t="inlineStr">
        <is>
          <t>Facility maintenance</t>
        </is>
      </c>
      <c r="H139" s="7" t="inlineStr">
        <is>
          <t>Sales</t>
        </is>
      </c>
      <c r="I139" s="7" t="inlineStr">
        <is>
          <t>East</t>
        </is>
      </c>
      <c r="J139" s="7" t="n">
        <v>21</v>
      </c>
      <c r="K139" s="7" t="n">
        <v>563.42</v>
      </c>
      <c r="L139" s="7" t="n">
        <v>11831.74</v>
      </c>
      <c r="M139" s="7" t="inlineStr">
        <is>
          <t>Overdue</t>
        </is>
      </c>
    </row>
    <row r="140">
      <c r="A140" s="7" t="inlineStr">
        <is>
          <t>PO-00367</t>
        </is>
      </c>
      <c r="B140" s="9" t="n">
        <v>45744</v>
      </c>
      <c r="C140" s="7" t="inlineStr">
        <is>
          <t>Purchase Order</t>
        </is>
      </c>
      <c r="D140" s="7" t="inlineStr">
        <is>
          <t>SUP010</t>
        </is>
      </c>
      <c r="E140" s="7" t="inlineStr">
        <is>
          <t>Urban Energy Solutions</t>
        </is>
      </c>
      <c r="F140" s="7" t="inlineStr">
        <is>
          <t>Utilities</t>
        </is>
      </c>
      <c r="G140" s="7" t="inlineStr">
        <is>
          <t>Water services</t>
        </is>
      </c>
      <c r="H140" s="7" t="inlineStr">
        <is>
          <t>Sales</t>
        </is>
      </c>
      <c r="I140" s="7" t="inlineStr">
        <is>
          <t>South</t>
        </is>
      </c>
      <c r="J140" s="7" t="n">
        <v>64</v>
      </c>
      <c r="K140" s="7" t="n">
        <v>204.26</v>
      </c>
      <c r="L140" s="7" t="n">
        <v>13072.82</v>
      </c>
      <c r="M140" s="7" t="inlineStr">
        <is>
          <t>Pending</t>
        </is>
      </c>
    </row>
    <row r="141">
      <c r="A141" s="7" t="inlineStr">
        <is>
          <t>PO-00374</t>
        </is>
      </c>
      <c r="B141" s="9" t="n">
        <v>45746</v>
      </c>
      <c r="C141" s="7" t="inlineStr">
        <is>
          <t>Goods Receipt</t>
        </is>
      </c>
      <c r="D141" s="7" t="inlineStr">
        <is>
          <t>SUP003</t>
        </is>
      </c>
      <c r="E141" s="7" t="inlineStr">
        <is>
          <t>Northstar IT Services</t>
        </is>
      </c>
      <c r="F141" s="7" t="inlineStr">
        <is>
          <t>IT Services</t>
        </is>
      </c>
      <c r="G141" s="7" t="inlineStr">
        <is>
          <t>Cloud services</t>
        </is>
      </c>
      <c r="H141" s="7" t="inlineStr">
        <is>
          <t>Manufacturing</t>
        </is>
      </c>
      <c r="I141" s="7" t="inlineStr">
        <is>
          <t>North</t>
        </is>
      </c>
      <c r="J141" s="7" t="n">
        <v>95</v>
      </c>
      <c r="K141" s="7" t="n">
        <v>103.9</v>
      </c>
      <c r="L141" s="7" t="n">
        <v>9870.059999999999</v>
      </c>
      <c r="M141" s="7" t="inlineStr">
        <is>
          <t>Overdue</t>
        </is>
      </c>
    </row>
    <row r="142">
      <c r="A142" s="7" t="inlineStr">
        <is>
          <t>PO-00403</t>
        </is>
      </c>
      <c r="B142" s="9" t="n">
        <v>45746</v>
      </c>
      <c r="C142" s="7" t="inlineStr">
        <is>
          <t>Goods Receipt</t>
        </is>
      </c>
      <c r="D142" s="7" t="inlineStr">
        <is>
          <t>SUP005</t>
        </is>
      </c>
      <c r="E142" s="7" t="inlineStr">
        <is>
          <t>Metro Logistics</t>
        </is>
      </c>
      <c r="F142" s="7" t="inlineStr">
        <is>
          <t>Logistics</t>
        </is>
      </c>
      <c r="G142" s="7" t="inlineStr">
        <is>
          <t>Courier services</t>
        </is>
      </c>
      <c r="H142" s="7" t="inlineStr">
        <is>
          <t>Corporate</t>
        </is>
      </c>
      <c r="I142" s="7" t="inlineStr">
        <is>
          <t>West</t>
        </is>
      </c>
      <c r="J142" s="7" t="n">
        <v>88</v>
      </c>
      <c r="K142" s="7" t="n">
        <v>215.87</v>
      </c>
      <c r="L142" s="7" t="n">
        <v>18996.16</v>
      </c>
      <c r="M142" s="7" t="inlineStr">
        <is>
          <t>Pending</t>
        </is>
      </c>
    </row>
    <row r="143">
      <c r="A143" s="7" t="inlineStr">
        <is>
          <t>PO-00363</t>
        </is>
      </c>
      <c r="B143" s="9" t="n">
        <v>45747</v>
      </c>
      <c r="C143" s="7" t="inlineStr">
        <is>
          <t>Goods Receipt</t>
        </is>
      </c>
      <c r="D143" s="7" t="inlineStr">
        <is>
          <t>SUP001</t>
        </is>
      </c>
      <c r="E143" s="7" t="inlineStr">
        <is>
          <t>Apex Office Supplies</t>
        </is>
      </c>
      <c r="F143" s="7" t="inlineStr">
        <is>
          <t>Office Supplies</t>
        </is>
      </c>
      <c r="G143" s="7" t="inlineStr">
        <is>
          <t>Toner cartridges</t>
        </is>
      </c>
      <c r="H143" s="7" t="inlineStr">
        <is>
          <t>Operations</t>
        </is>
      </c>
      <c r="I143" s="7" t="inlineStr">
        <is>
          <t>North</t>
        </is>
      </c>
      <c r="J143" s="7" t="n">
        <v>72</v>
      </c>
      <c r="K143" s="7" t="n">
        <v>213.89</v>
      </c>
      <c r="L143" s="7" t="n">
        <v>15400.27</v>
      </c>
      <c r="M143" s="7" t="inlineStr">
        <is>
          <t>Pending</t>
        </is>
      </c>
    </row>
    <row r="144">
      <c r="A144" s="7" t="inlineStr">
        <is>
          <t>PO-00055</t>
        </is>
      </c>
      <c r="B144" s="9" t="n">
        <v>45748</v>
      </c>
      <c r="C144" s="7" t="inlineStr">
        <is>
          <t>Purchase Order</t>
        </is>
      </c>
      <c r="D144" s="7" t="inlineStr">
        <is>
          <t>SUP012</t>
        </is>
      </c>
      <c r="E144" s="7" t="inlineStr">
        <is>
          <t>Pioneer Hardware</t>
        </is>
      </c>
      <c r="F144" s="7" t="inlineStr">
        <is>
          <t>Maintenance</t>
        </is>
      </c>
      <c r="G144" s="7" t="inlineStr">
        <is>
          <t>Equipment servicing</t>
        </is>
      </c>
      <c r="H144" s="7" t="inlineStr">
        <is>
          <t>Operations</t>
        </is>
      </c>
      <c r="I144" s="7" t="inlineStr">
        <is>
          <t>West</t>
        </is>
      </c>
      <c r="J144" s="7" t="n">
        <v>32</v>
      </c>
      <c r="K144" s="7" t="n">
        <v>31.81</v>
      </c>
      <c r="L144" s="7" t="n">
        <v>1017.9</v>
      </c>
      <c r="M144" s="7" t="inlineStr">
        <is>
          <t>Overdue</t>
        </is>
      </c>
    </row>
    <row r="145">
      <c r="A145" s="7" t="inlineStr">
        <is>
          <t>PO-00234</t>
        </is>
      </c>
      <c r="B145" s="9" t="n">
        <v>45748</v>
      </c>
      <c r="C145" s="7" t="inlineStr">
        <is>
          <t>Purchase Order</t>
        </is>
      </c>
      <c r="D145" s="7" t="inlineStr">
        <is>
          <t>SUP001</t>
        </is>
      </c>
      <c r="E145" s="7" t="inlineStr">
        <is>
          <t>Apex Office Supplies</t>
        </is>
      </c>
      <c r="F145" s="7" t="inlineStr">
        <is>
          <t>Office Supplies</t>
        </is>
      </c>
      <c r="G145" s="7" t="inlineStr">
        <is>
          <t>Toner cartridges</t>
        </is>
      </c>
      <c r="H145" s="7" t="inlineStr">
        <is>
          <t>Technology</t>
        </is>
      </c>
      <c r="I145" s="7" t="inlineStr">
        <is>
          <t>North</t>
        </is>
      </c>
      <c r="J145" s="7" t="n">
        <v>64</v>
      </c>
      <c r="K145" s="7" t="n">
        <v>112.79</v>
      </c>
      <c r="L145" s="7" t="n">
        <v>7218.26</v>
      </c>
      <c r="M145" s="7" t="inlineStr">
        <is>
          <t>Paid</t>
        </is>
      </c>
    </row>
    <row r="146">
      <c r="A146" s="7" t="inlineStr">
        <is>
          <t>PO-00042</t>
        </is>
      </c>
      <c r="B146" s="9" t="n">
        <v>45748</v>
      </c>
      <c r="C146" s="7" t="inlineStr">
        <is>
          <t>Goods Receipt</t>
        </is>
      </c>
      <c r="D146" s="7" t="inlineStr">
        <is>
          <t>SUP007</t>
        </is>
      </c>
      <c r="E146" s="7" t="inlineStr">
        <is>
          <t>BrightClean Facilities</t>
        </is>
      </c>
      <c r="F146" s="7" t="inlineStr">
        <is>
          <t>Professional Services</t>
        </is>
      </c>
      <c r="G146" s="7" t="inlineStr">
        <is>
          <t>Audit support</t>
        </is>
      </c>
      <c r="H146" s="7" t="inlineStr">
        <is>
          <t>Operations</t>
        </is>
      </c>
      <c r="I146" s="7" t="inlineStr">
        <is>
          <t>East</t>
        </is>
      </c>
      <c r="J146" s="7" t="n">
        <v>53</v>
      </c>
      <c r="K146" s="7" t="n">
        <v>452.56</v>
      </c>
      <c r="L146" s="7" t="n">
        <v>23985.42</v>
      </c>
      <c r="M146" s="7" t="inlineStr">
        <is>
          <t>Paid</t>
        </is>
      </c>
    </row>
    <row r="147">
      <c r="A147" s="7" t="inlineStr">
        <is>
          <t>PO-00583</t>
        </is>
      </c>
      <c r="B147" s="9" t="n">
        <v>45749</v>
      </c>
      <c r="C147" s="7" t="inlineStr">
        <is>
          <t>Purchase Order</t>
        </is>
      </c>
      <c r="D147" s="7" t="inlineStr">
        <is>
          <t>SUP001</t>
        </is>
      </c>
      <c r="E147" s="7" t="inlineStr">
        <is>
          <t>Apex Office Supplies</t>
        </is>
      </c>
      <c r="F147" s="7" t="inlineStr">
        <is>
          <t>Office Supplies</t>
        </is>
      </c>
      <c r="G147" s="7" t="inlineStr">
        <is>
          <t>Toner cartridges</t>
        </is>
      </c>
      <c r="H147" s="7" t="inlineStr">
        <is>
          <t>Sales</t>
        </is>
      </c>
      <c r="I147" s="7" t="inlineStr">
        <is>
          <t>West</t>
        </is>
      </c>
      <c r="J147" s="7" t="n">
        <v>13</v>
      </c>
      <c r="K147" s="7" t="n">
        <v>676.8</v>
      </c>
      <c r="L147" s="7" t="n">
        <v>8798.42</v>
      </c>
      <c r="M147" s="7" t="inlineStr">
        <is>
          <t>Overdue</t>
        </is>
      </c>
    </row>
    <row r="148">
      <c r="A148" s="7" t="inlineStr">
        <is>
          <t>PO-00426</t>
        </is>
      </c>
      <c r="B148" s="9" t="n">
        <v>45750</v>
      </c>
      <c r="C148" s="7" t="inlineStr">
        <is>
          <t>Invoice</t>
        </is>
      </c>
      <c r="D148" s="7" t="inlineStr">
        <is>
          <t>SUP002</t>
        </is>
      </c>
      <c r="E148" s="7" t="inlineStr">
        <is>
          <t>Apex Office Supply Ltd</t>
        </is>
      </c>
      <c r="F148" s="7" t="inlineStr">
        <is>
          <t>Office Supplies</t>
        </is>
      </c>
      <c r="G148" s="7" t="inlineStr">
        <is>
          <t>Toner cartridges</t>
        </is>
      </c>
      <c r="H148" s="7" t="inlineStr">
        <is>
          <t>Corporate</t>
        </is>
      </c>
      <c r="I148" s="7" t="inlineStr">
        <is>
          <t>North</t>
        </is>
      </c>
      <c r="J148" s="7" t="n">
        <v>23</v>
      </c>
      <c r="K148" s="7" t="n">
        <v>495.78</v>
      </c>
      <c r="L148" s="7" t="n">
        <v>11402.87</v>
      </c>
      <c r="M148" s="7" t="inlineStr">
        <is>
          <t>Pending</t>
        </is>
      </c>
    </row>
    <row r="149">
      <c r="A149" s="7" t="inlineStr">
        <is>
          <t>PO-00185</t>
        </is>
      </c>
      <c r="B149" s="9" t="n">
        <v>45751</v>
      </c>
      <c r="C149" s="7" t="inlineStr">
        <is>
          <t>Purchase Order</t>
        </is>
      </c>
      <c r="D149" s="7" t="inlineStr">
        <is>
          <t>SUP003</t>
        </is>
      </c>
      <c r="E149" s="7" t="inlineStr">
        <is>
          <t>Northstar IT Services</t>
        </is>
      </c>
      <c r="F149" s="7" t="inlineStr">
        <is>
          <t>Marketing</t>
        </is>
      </c>
      <c r="G149" s="7" t="inlineStr">
        <is>
          <t>Digital campaign</t>
        </is>
      </c>
      <c r="H149" s="7" t="inlineStr">
        <is>
          <t>Corporate</t>
        </is>
      </c>
      <c r="I149" s="7" t="inlineStr">
        <is>
          <t>East</t>
        </is>
      </c>
      <c r="J149" s="7" t="n">
        <v>26</v>
      </c>
      <c r="K149" s="7" t="n">
        <v>30.05</v>
      </c>
      <c r="L149" s="7" t="n">
        <v>781.27</v>
      </c>
      <c r="M149" s="7" t="inlineStr">
        <is>
          <t>Pending</t>
        </is>
      </c>
    </row>
    <row r="150">
      <c r="A150" s="7" t="inlineStr">
        <is>
          <t>PO-00075</t>
        </is>
      </c>
      <c r="B150" s="9" t="n">
        <v>45751</v>
      </c>
      <c r="C150" s="7" t="inlineStr">
        <is>
          <t>Invoice</t>
        </is>
      </c>
      <c r="D150" s="7" t="inlineStr">
        <is>
          <t>SUP008</t>
        </is>
      </c>
      <c r="E150" s="7" t="inlineStr">
        <is>
          <t>GreenLeaf Packaging</t>
        </is>
      </c>
      <c r="F150" s="7" t="inlineStr">
        <is>
          <t>Packaging</t>
        </is>
      </c>
      <c r="G150" s="7" t="inlineStr">
        <is>
          <t>Labels</t>
        </is>
      </c>
      <c r="H150" s="7" t="inlineStr">
        <is>
          <t>Technology</t>
        </is>
      </c>
      <c r="I150" s="7" t="inlineStr">
        <is>
          <t>North</t>
        </is>
      </c>
      <c r="J150" s="7" t="n">
        <v>44</v>
      </c>
      <c r="K150" s="7" t="n">
        <v>326.94</v>
      </c>
      <c r="L150" s="7" t="n">
        <v>14385.24</v>
      </c>
      <c r="M150" s="7" t="inlineStr">
        <is>
          <t>Overdue</t>
        </is>
      </c>
    </row>
    <row r="151">
      <c r="A151" s="7" t="inlineStr">
        <is>
          <t>PO-00512</t>
        </is>
      </c>
      <c r="B151" s="9" t="n">
        <v>45751</v>
      </c>
      <c r="C151" s="7" t="inlineStr">
        <is>
          <t>Goods Receipt</t>
        </is>
      </c>
      <c r="D151" s="7" t="inlineStr">
        <is>
          <t>SUP010</t>
        </is>
      </c>
      <c r="E151" s="7" t="inlineStr">
        <is>
          <t>Urban Energy Solutions</t>
        </is>
      </c>
      <c r="F151" s="7" t="inlineStr">
        <is>
          <t>Utilities</t>
        </is>
      </c>
      <c r="G151" s="7" t="inlineStr">
        <is>
          <t>Water services</t>
        </is>
      </c>
      <c r="H151" s="7" t="inlineStr">
        <is>
          <t>Sales</t>
        </is>
      </c>
      <c r="I151" s="7" t="inlineStr">
        <is>
          <t>North</t>
        </is>
      </c>
      <c r="J151" s="7" t="n">
        <v>93</v>
      </c>
      <c r="K151" s="7" t="n">
        <v>52.15</v>
      </c>
      <c r="L151" s="7" t="n">
        <v>4849.63</v>
      </c>
      <c r="M151" s="7" t="inlineStr">
        <is>
          <t>Paid</t>
        </is>
      </c>
    </row>
    <row r="152">
      <c r="A152" s="7" t="inlineStr">
        <is>
          <t>PO-00305</t>
        </is>
      </c>
      <c r="B152" s="9" t="n">
        <v>45752</v>
      </c>
      <c r="C152" s="7" t="inlineStr">
        <is>
          <t>Goods Receipt</t>
        </is>
      </c>
      <c r="D152" s="7" t="inlineStr">
        <is>
          <t>SUP003</t>
        </is>
      </c>
      <c r="E152" s="7" t="inlineStr">
        <is>
          <t>Northstar IT Services</t>
        </is>
      </c>
      <c r="F152" s="7" t="inlineStr">
        <is>
          <t>IT Services</t>
        </is>
      </c>
      <c r="G152" s="7" t="inlineStr">
        <is>
          <t>IT consulting</t>
        </is>
      </c>
      <c r="H152" s="7" t="inlineStr">
        <is>
          <t>Operations</t>
        </is>
      </c>
      <c r="I152" s="7" t="inlineStr">
        <is>
          <t>West</t>
        </is>
      </c>
      <c r="J152" s="7" t="n">
        <v>4</v>
      </c>
      <c r="K152" s="7" t="n">
        <v>3334.79</v>
      </c>
      <c r="L152" s="7" t="n">
        <v>13339.16</v>
      </c>
      <c r="M152" s="7" t="inlineStr">
        <is>
          <t>Overdue</t>
        </is>
      </c>
    </row>
    <row r="153">
      <c r="A153" s="7" t="inlineStr">
        <is>
          <t>PO-00285</t>
        </is>
      </c>
      <c r="B153" s="9" t="n">
        <v>45753</v>
      </c>
      <c r="C153" s="7" t="inlineStr">
        <is>
          <t>Purchase Order</t>
        </is>
      </c>
      <c r="D153" s="7" t="inlineStr">
        <is>
          <t>SUP007</t>
        </is>
      </c>
      <c r="E153" s="7" t="inlineStr">
        <is>
          <t>BrightClean Facilities</t>
        </is>
      </c>
      <c r="F153" s="7" t="inlineStr">
        <is>
          <t>Facilities</t>
        </is>
      </c>
      <c r="G153" s="7" t="inlineStr">
        <is>
          <t>Cleaning services</t>
        </is>
      </c>
      <c r="H153" s="7" t="inlineStr">
        <is>
          <t>Corporate</t>
        </is>
      </c>
      <c r="I153" s="7" t="inlineStr">
        <is>
          <t>East</t>
        </is>
      </c>
      <c r="J153" s="7" t="n">
        <v>53</v>
      </c>
      <c r="K153" s="7" t="n">
        <v>189.41</v>
      </c>
      <c r="L153" s="7" t="n">
        <v>10038.75</v>
      </c>
      <c r="M153" s="7" t="inlineStr">
        <is>
          <t>Overdue</t>
        </is>
      </c>
    </row>
    <row r="154">
      <c r="A154" s="7" t="inlineStr">
        <is>
          <t>PO-00188</t>
        </is>
      </c>
      <c r="B154" s="9" t="n">
        <v>45753</v>
      </c>
      <c r="C154" s="7" t="inlineStr">
        <is>
          <t>Goods Receipt</t>
        </is>
      </c>
      <c r="D154" s="7" t="inlineStr">
        <is>
          <t>SUP008</t>
        </is>
      </c>
      <c r="E154" s="7" t="inlineStr">
        <is>
          <t>GreenLeaf Packaging</t>
        </is>
      </c>
      <c r="F154" s="7" t="inlineStr">
        <is>
          <t>Packaging</t>
        </is>
      </c>
      <c r="G154" s="7" t="inlineStr">
        <is>
          <t>Protective packaging</t>
        </is>
      </c>
      <c r="H154" s="7" t="inlineStr">
        <is>
          <t>Corporate</t>
        </is>
      </c>
      <c r="I154" s="7" t="inlineStr">
        <is>
          <t>West</t>
        </is>
      </c>
      <c r="J154" s="7" t="n">
        <v>103</v>
      </c>
      <c r="K154" s="7" t="n">
        <v>64.93000000000001</v>
      </c>
      <c r="L154" s="7" t="n">
        <v>6688.16</v>
      </c>
      <c r="M154" s="7" t="inlineStr">
        <is>
          <t>Paid</t>
        </is>
      </c>
    </row>
    <row r="155">
      <c r="A155" s="7" t="inlineStr">
        <is>
          <t>PO-00237</t>
        </is>
      </c>
      <c r="B155" s="9" t="n">
        <v>45753</v>
      </c>
      <c r="C155" s="7" t="inlineStr">
        <is>
          <t>Goods Receipt</t>
        </is>
      </c>
      <c r="D155" s="7" t="inlineStr">
        <is>
          <t>SUP001</t>
        </is>
      </c>
      <c r="E155" s="7" t="inlineStr">
        <is>
          <t>Apex Office Supplies</t>
        </is>
      </c>
      <c r="F155" s="7" t="inlineStr">
        <is>
          <t>Office Supplies</t>
        </is>
      </c>
      <c r="G155" s="7" t="inlineStr">
        <is>
          <t>Printer paper</t>
        </is>
      </c>
      <c r="H155" s="7" t="inlineStr">
        <is>
          <t>Operations</t>
        </is>
      </c>
      <c r="I155" s="7" t="inlineStr">
        <is>
          <t>West</t>
        </is>
      </c>
      <c r="J155" s="7" t="n">
        <v>73</v>
      </c>
      <c r="K155" s="7" t="n">
        <v>195.33</v>
      </c>
      <c r="L155" s="7" t="n">
        <v>14258.93</v>
      </c>
      <c r="M155" s="7" t="inlineStr">
        <is>
          <t>Pending</t>
        </is>
      </c>
    </row>
    <row r="156">
      <c r="A156" s="7" t="inlineStr">
        <is>
          <t>PO-00307</t>
        </is>
      </c>
      <c r="B156" s="9" t="n">
        <v>45753</v>
      </c>
      <c r="C156" s="7" t="inlineStr">
        <is>
          <t>Goods Receipt</t>
        </is>
      </c>
      <c r="D156" s="7" t="inlineStr">
        <is>
          <t>SUP006</t>
        </is>
      </c>
      <c r="E156" s="7" t="inlineStr">
        <is>
          <t>Metro Logistics Pvt Ltd</t>
        </is>
      </c>
      <c r="F156" s="7" t="inlineStr">
        <is>
          <t>Logistics</t>
        </is>
      </c>
      <c r="G156" s="7" t="inlineStr">
        <is>
          <t>Courier services</t>
        </is>
      </c>
      <c r="H156" s="7" t="inlineStr">
        <is>
          <t>Manufacturing</t>
        </is>
      </c>
      <c r="I156" s="7" t="inlineStr">
        <is>
          <t>East</t>
        </is>
      </c>
      <c r="J156" s="7" t="n">
        <v>34</v>
      </c>
      <c r="K156" s="7" t="n">
        <v>415.05</v>
      </c>
      <c r="L156" s="7" t="n">
        <v>14111.7</v>
      </c>
      <c r="M156" s="7" t="inlineStr">
        <is>
          <t>Overdue</t>
        </is>
      </c>
    </row>
    <row r="157">
      <c r="A157" s="7" t="inlineStr">
        <is>
          <t>PO-00312</t>
        </is>
      </c>
      <c r="B157" s="9" t="n">
        <v>45753</v>
      </c>
      <c r="C157" s="7" t="inlineStr">
        <is>
          <t>Invoice</t>
        </is>
      </c>
      <c r="D157" s="7" t="inlineStr">
        <is>
          <t>SUP006</t>
        </is>
      </c>
      <c r="E157" s="7" t="inlineStr">
        <is>
          <t>Metro Logistics Pvt Ltd</t>
        </is>
      </c>
      <c r="F157" s="7" t="inlineStr">
        <is>
          <t>Logistics</t>
        </is>
      </c>
      <c r="G157" s="7" t="inlineStr">
        <is>
          <t>Freight services</t>
        </is>
      </c>
      <c r="H157" s="7" t="inlineStr">
        <is>
          <t>Sales</t>
        </is>
      </c>
      <c r="I157" s="7" t="inlineStr">
        <is>
          <t>South</t>
        </is>
      </c>
      <c r="J157" s="7" t="n">
        <v>111</v>
      </c>
      <c r="K157" s="7" t="n">
        <v>171.46</v>
      </c>
      <c r="L157" s="7" t="n">
        <v>19031.59</v>
      </c>
      <c r="M157" s="7" t="inlineStr">
        <is>
          <t>Paid</t>
        </is>
      </c>
    </row>
    <row r="158">
      <c r="A158" s="7" t="inlineStr">
        <is>
          <t>PO-00507</t>
        </is>
      </c>
      <c r="B158" s="9" t="n">
        <v>45753</v>
      </c>
      <c r="C158" s="7" t="inlineStr">
        <is>
          <t>Goods Receipt</t>
        </is>
      </c>
      <c r="D158" s="7" t="inlineStr">
        <is>
          <t>SUP003</t>
        </is>
      </c>
      <c r="E158" s="7" t="inlineStr">
        <is>
          <t>Northstar IT Services</t>
        </is>
      </c>
      <c r="F158" s="7" t="inlineStr"/>
      <c r="G158" s="7" t="inlineStr">
        <is>
          <t>Software support</t>
        </is>
      </c>
      <c r="H158" s="7" t="inlineStr">
        <is>
          <t>Sales</t>
        </is>
      </c>
      <c r="I158" s="7" t="inlineStr">
        <is>
          <t>East</t>
        </is>
      </c>
      <c r="J158" s="7" t="n">
        <v>16</v>
      </c>
      <c r="K158" s="7" t="n">
        <v>1375.45</v>
      </c>
      <c r="L158" s="7" t="n">
        <v>22007.13</v>
      </c>
      <c r="M158" s="7" t="inlineStr">
        <is>
          <t>Overdue</t>
        </is>
      </c>
    </row>
    <row r="159">
      <c r="A159" s="7" t="inlineStr">
        <is>
          <t>PO-00518</t>
        </is>
      </c>
      <c r="B159" s="9" t="n">
        <v>45754</v>
      </c>
      <c r="C159" s="7" t="inlineStr">
        <is>
          <t>Goods Receipt</t>
        </is>
      </c>
      <c r="D159" s="7" t="inlineStr">
        <is>
          <t>SUP001</t>
        </is>
      </c>
      <c r="E159" s="7" t="inlineStr">
        <is>
          <t>Apex Office Supplies</t>
        </is>
      </c>
      <c r="F159" s="7" t="inlineStr">
        <is>
          <t>Office Supplies</t>
        </is>
      </c>
      <c r="G159" s="7" t="inlineStr">
        <is>
          <t>Printer paper</t>
        </is>
      </c>
      <c r="H159" s="7" t="inlineStr">
        <is>
          <t>Manufacturing</t>
        </is>
      </c>
      <c r="I159" s="7" t="inlineStr">
        <is>
          <t>North</t>
        </is>
      </c>
      <c r="J159" s="7" t="n">
        <v>74</v>
      </c>
      <c r="K159" s="7" t="n">
        <v>192.36</v>
      </c>
      <c r="L159" s="7" t="n">
        <v>14234.87</v>
      </c>
      <c r="M159" s="7" t="inlineStr">
        <is>
          <t>Pending</t>
        </is>
      </c>
    </row>
    <row r="160">
      <c r="A160" s="7" t="inlineStr">
        <is>
          <t>PO-00076</t>
        </is>
      </c>
      <c r="B160" s="9" t="n">
        <v>45755</v>
      </c>
      <c r="C160" s="7" t="inlineStr">
        <is>
          <t>Purchase Order</t>
        </is>
      </c>
      <c r="D160" s="7" t="inlineStr">
        <is>
          <t>SUP002</t>
        </is>
      </c>
      <c r="E160" s="7" t="inlineStr">
        <is>
          <t>Apex Office Supply Ltd</t>
        </is>
      </c>
      <c r="F160" s="7" t="inlineStr">
        <is>
          <t>Office Supplies</t>
        </is>
      </c>
      <c r="G160" s="7" t="inlineStr">
        <is>
          <t>Toner cartridges</t>
        </is>
      </c>
      <c r="H160" s="7" t="inlineStr">
        <is>
          <t>Sales</t>
        </is>
      </c>
      <c r="I160" s="7" t="inlineStr">
        <is>
          <t>West</t>
        </is>
      </c>
      <c r="J160" s="7" t="n">
        <v>72</v>
      </c>
      <c r="K160" s="7" t="n">
        <v>102.6</v>
      </c>
      <c r="L160" s="7" t="n">
        <v>7386.93</v>
      </c>
      <c r="M160" s="7" t="inlineStr">
        <is>
          <t>Pending</t>
        </is>
      </c>
    </row>
    <row r="161">
      <c r="A161" s="7" t="inlineStr">
        <is>
          <t>PO-00047</t>
        </is>
      </c>
      <c r="B161" s="9" t="n">
        <v>45755</v>
      </c>
      <c r="C161" s="7" t="inlineStr">
        <is>
          <t>Goods Receipt</t>
        </is>
      </c>
      <c r="D161" s="7" t="inlineStr">
        <is>
          <t>SUP005</t>
        </is>
      </c>
      <c r="E161" s="7" t="inlineStr">
        <is>
          <t>Metro Logistics</t>
        </is>
      </c>
      <c r="F161" s="7" t="inlineStr">
        <is>
          <t>Utilities</t>
        </is>
      </c>
      <c r="G161" s="7" t="inlineStr">
        <is>
          <t>Natural gas</t>
        </is>
      </c>
      <c r="H161" s="7" t="inlineStr">
        <is>
          <t>Operations</t>
        </is>
      </c>
      <c r="I161" s="7" t="inlineStr">
        <is>
          <t>East</t>
        </is>
      </c>
      <c r="J161" s="7" t="n">
        <v>119</v>
      </c>
      <c r="K161" s="7" t="n">
        <v>1.26</v>
      </c>
      <c r="L161" s="7" t="n">
        <v>150.24</v>
      </c>
      <c r="M161" s="7" t="inlineStr">
        <is>
          <t>Pending</t>
        </is>
      </c>
    </row>
    <row r="162">
      <c r="A162" s="7" t="inlineStr">
        <is>
          <t>PO-00029</t>
        </is>
      </c>
      <c r="B162" s="9" t="n">
        <v>45755</v>
      </c>
      <c r="C162" s="7" t="inlineStr">
        <is>
          <t>Goods Receipt</t>
        </is>
      </c>
      <c r="D162" s="7" t="inlineStr">
        <is>
          <t>SUP005</t>
        </is>
      </c>
      <c r="E162" s="7" t="inlineStr">
        <is>
          <t>Metro Logistics</t>
        </is>
      </c>
      <c r="F162" s="7" t="inlineStr">
        <is>
          <t>Logistics</t>
        </is>
      </c>
      <c r="G162" s="7" t="inlineStr">
        <is>
          <t>Freight services</t>
        </is>
      </c>
      <c r="H162" s="7" t="inlineStr">
        <is>
          <t>Technology</t>
        </is>
      </c>
      <c r="I162" s="7" t="inlineStr">
        <is>
          <t>North</t>
        </is>
      </c>
      <c r="J162" s="7" t="n">
        <v>95</v>
      </c>
      <c r="K162" s="7" t="n">
        <v>20.86</v>
      </c>
      <c r="L162" s="7" t="n">
        <v>1981.66</v>
      </c>
      <c r="M162" s="7" t="inlineStr">
        <is>
          <t>Paid</t>
        </is>
      </c>
    </row>
    <row r="163">
      <c r="A163" s="7" t="inlineStr">
        <is>
          <t>PO-00102</t>
        </is>
      </c>
      <c r="B163" s="9" t="n">
        <v>45755</v>
      </c>
      <c r="C163" s="7" t="inlineStr">
        <is>
          <t>Purchase Order</t>
        </is>
      </c>
      <c r="D163" s="7" t="inlineStr">
        <is>
          <t>SUP010</t>
        </is>
      </c>
      <c r="E163" s="7" t="inlineStr">
        <is>
          <t>Urban Energy Solutions</t>
        </is>
      </c>
      <c r="F163" s="7" t="inlineStr">
        <is>
          <t>Utilities</t>
        </is>
      </c>
      <c r="G163" s="7" t="inlineStr">
        <is>
          <t>Water services</t>
        </is>
      </c>
      <c r="H163" s="7" t="inlineStr">
        <is>
          <t>Sales</t>
        </is>
      </c>
      <c r="I163" s="7" t="inlineStr">
        <is>
          <t>East</t>
        </is>
      </c>
      <c r="J163" s="7" t="n">
        <v>111</v>
      </c>
      <c r="K163" s="7" t="n">
        <v>142.72</v>
      </c>
      <c r="L163" s="7" t="n">
        <v>15842.35</v>
      </c>
      <c r="M163" s="7" t="inlineStr">
        <is>
          <t>Overdue</t>
        </is>
      </c>
    </row>
    <row r="164">
      <c r="A164" s="7" t="inlineStr">
        <is>
          <t>PO-00273</t>
        </is>
      </c>
      <c r="B164" s="9" t="n">
        <v>45756</v>
      </c>
      <c r="C164" s="7" t="inlineStr">
        <is>
          <t>Invoice</t>
        </is>
      </c>
      <c r="D164" s="7" t="inlineStr">
        <is>
          <t>SUP010</t>
        </is>
      </c>
      <c r="E164" s="7" t="inlineStr">
        <is>
          <t>Urban Energy Solutions</t>
        </is>
      </c>
      <c r="F164" s="7" t="inlineStr">
        <is>
          <t>Utilities</t>
        </is>
      </c>
      <c r="G164" s="7" t="inlineStr">
        <is>
          <t>Electricity</t>
        </is>
      </c>
      <c r="H164" s="7" t="inlineStr">
        <is>
          <t>Technology</t>
        </is>
      </c>
      <c r="I164" s="7" t="inlineStr">
        <is>
          <t>West</t>
        </is>
      </c>
      <c r="J164" s="7" t="n">
        <v>35</v>
      </c>
      <c r="K164" s="7" t="n">
        <v>419.89</v>
      </c>
      <c r="L164" s="7" t="n">
        <v>14696.03</v>
      </c>
      <c r="M164" s="7" t="inlineStr">
        <is>
          <t>Pending</t>
        </is>
      </c>
    </row>
    <row r="165">
      <c r="A165" s="7" t="inlineStr">
        <is>
          <t>PO-00577</t>
        </is>
      </c>
      <c r="B165" s="9" t="n">
        <v>45756</v>
      </c>
      <c r="C165" s="7" t="inlineStr">
        <is>
          <t>Invoice</t>
        </is>
      </c>
      <c r="D165" s="7" t="inlineStr">
        <is>
          <t>SUP001</t>
        </is>
      </c>
      <c r="E165" s="7" t="inlineStr">
        <is>
          <t>Apex Office Supplies</t>
        </is>
      </c>
      <c r="F165" s="7" t="inlineStr">
        <is>
          <t>Office Supplies</t>
        </is>
      </c>
      <c r="G165" s="7" t="inlineStr">
        <is>
          <t>Printer paper</t>
        </is>
      </c>
      <c r="H165" s="7" t="inlineStr">
        <is>
          <t>Sales</t>
        </is>
      </c>
      <c r="I165" s="7" t="inlineStr">
        <is>
          <t>West</t>
        </is>
      </c>
      <c r="J165" s="7" t="n">
        <v>18</v>
      </c>
      <c r="K165" s="7" t="n">
        <v>362.45</v>
      </c>
      <c r="L165" s="7" t="n">
        <v>6524.03</v>
      </c>
      <c r="M165" s="7" t="inlineStr">
        <is>
          <t>Overdue</t>
        </is>
      </c>
    </row>
    <row r="166">
      <c r="A166" s="7" t="inlineStr">
        <is>
          <t>PO-00471</t>
        </is>
      </c>
      <c r="B166" s="9" t="n">
        <v>45757</v>
      </c>
      <c r="C166" s="7" t="inlineStr">
        <is>
          <t>Purchase Order</t>
        </is>
      </c>
      <c r="D166" s="7" t="inlineStr">
        <is>
          <t>SUP005</t>
        </is>
      </c>
      <c r="E166" s="7" t="inlineStr">
        <is>
          <t>Metro Logistics</t>
        </is>
      </c>
      <c r="F166" s="7" t="inlineStr">
        <is>
          <t>Logistics</t>
        </is>
      </c>
      <c r="G166" s="7" t="inlineStr">
        <is>
          <t>Freight services</t>
        </is>
      </c>
      <c r="H166" s="7" t="inlineStr">
        <is>
          <t>Manufacturing</t>
        </is>
      </c>
      <c r="I166" s="7" t="inlineStr">
        <is>
          <t>North</t>
        </is>
      </c>
      <c r="J166" s="7" t="n">
        <v>10</v>
      </c>
      <c r="K166" s="7" t="n">
        <v>3009.7</v>
      </c>
      <c r="L166" s="7" t="n">
        <v>30097.05</v>
      </c>
      <c r="M166" s="7" t="inlineStr">
        <is>
          <t>Pending</t>
        </is>
      </c>
    </row>
    <row r="167">
      <c r="A167" s="7" t="inlineStr">
        <is>
          <t>PO-00545</t>
        </is>
      </c>
      <c r="B167" s="9" t="n">
        <v>45758</v>
      </c>
      <c r="C167" s="7" t="inlineStr">
        <is>
          <t>Purchase Order</t>
        </is>
      </c>
      <c r="D167" s="7" t="inlineStr">
        <is>
          <t>SUP003</t>
        </is>
      </c>
      <c r="E167" s="7" t="inlineStr">
        <is>
          <t>Northstar IT Services</t>
        </is>
      </c>
      <c r="F167" s="7" t="inlineStr">
        <is>
          <t>IT Services</t>
        </is>
      </c>
      <c r="G167" s="7" t="inlineStr">
        <is>
          <t>Software support</t>
        </is>
      </c>
      <c r="H167" s="7" t="inlineStr">
        <is>
          <t>Sales</t>
        </is>
      </c>
      <c r="I167" s="7" t="inlineStr">
        <is>
          <t>West</t>
        </is>
      </c>
      <c r="J167" s="7" t="n">
        <v>61</v>
      </c>
      <c r="K167" s="7" t="n">
        <v>371.36</v>
      </c>
      <c r="L167" s="7" t="n">
        <v>22652.72</v>
      </c>
      <c r="M167" s="7" t="inlineStr">
        <is>
          <t>Paid</t>
        </is>
      </c>
    </row>
    <row r="168">
      <c r="A168" s="7" t="inlineStr">
        <is>
          <t>PO-00536</t>
        </is>
      </c>
      <c r="B168" s="9" t="n">
        <v>45760</v>
      </c>
      <c r="C168" s="7" t="inlineStr">
        <is>
          <t>Purchase Order</t>
        </is>
      </c>
      <c r="D168" s="7" t="inlineStr">
        <is>
          <t>SUP004</t>
        </is>
      </c>
      <c r="E168" s="7" t="inlineStr">
        <is>
          <t>North Star IT Svc</t>
        </is>
      </c>
      <c r="F168" s="7" t="inlineStr">
        <is>
          <t>IT Services</t>
        </is>
      </c>
      <c r="G168" s="7" t="inlineStr">
        <is>
          <t>Software support</t>
        </is>
      </c>
      <c r="H168" s="7" t="inlineStr">
        <is>
          <t>Operations</t>
        </is>
      </c>
      <c r="I168" s="7" t="inlineStr">
        <is>
          <t>East</t>
        </is>
      </c>
      <c r="J168" s="7" t="n">
        <v>27</v>
      </c>
      <c r="K168" s="7" t="n">
        <v>990.0700000000001</v>
      </c>
      <c r="L168" s="7" t="n">
        <v>26731.88</v>
      </c>
      <c r="M168" s="7" t="inlineStr">
        <is>
          <t>Paid</t>
        </is>
      </c>
    </row>
    <row r="169">
      <c r="A169" s="7" t="inlineStr">
        <is>
          <t>PO-00370</t>
        </is>
      </c>
      <c r="B169" s="9" t="n">
        <v>45760</v>
      </c>
      <c r="C169" s="7" t="inlineStr">
        <is>
          <t>Goods Receipt</t>
        </is>
      </c>
      <c r="D169" s="7" t="inlineStr">
        <is>
          <t>SUP011</t>
        </is>
      </c>
      <c r="E169" s="7" t="inlineStr">
        <is>
          <t>Vertex Marketing</t>
        </is>
      </c>
      <c r="F169" s="7" t="inlineStr">
        <is>
          <t>Marketing</t>
        </is>
      </c>
      <c r="G169" s="7" t="inlineStr">
        <is>
          <t>Digital campaign</t>
        </is>
      </c>
      <c r="H169" s="7" t="inlineStr">
        <is>
          <t>Sales</t>
        </is>
      </c>
      <c r="I169" s="7" t="inlineStr">
        <is>
          <t>East</t>
        </is>
      </c>
      <c r="J169" s="7" t="n">
        <v>81</v>
      </c>
      <c r="K169" s="7" t="n">
        <v>117.55</v>
      </c>
      <c r="L169" s="7" t="n">
        <v>9521.559999999999</v>
      </c>
      <c r="M169" s="7" t="inlineStr">
        <is>
          <t>Pending</t>
        </is>
      </c>
    </row>
    <row r="170">
      <c r="A170" s="7" t="inlineStr">
        <is>
          <t>PO-00067</t>
        </is>
      </c>
      <c r="B170" s="9" t="n">
        <v>45760</v>
      </c>
      <c r="C170" s="7" t="inlineStr">
        <is>
          <t>Goods Receipt</t>
        </is>
      </c>
      <c r="D170" s="7" t="inlineStr">
        <is>
          <t>SUP001</t>
        </is>
      </c>
      <c r="E170" s="7" t="inlineStr">
        <is>
          <t>Apex Office Supplies</t>
        </is>
      </c>
      <c r="F170" s="7" t="inlineStr">
        <is>
          <t>Office Supplies</t>
        </is>
      </c>
      <c r="G170" s="7" t="inlineStr">
        <is>
          <t>Printer paper</t>
        </is>
      </c>
      <c r="H170" s="7" t="inlineStr">
        <is>
          <t>Manufacturing</t>
        </is>
      </c>
      <c r="I170" s="7" t="inlineStr">
        <is>
          <t>South</t>
        </is>
      </c>
      <c r="J170" s="7" t="n">
        <v>61</v>
      </c>
      <c r="K170" s="7" t="n">
        <v>71.89</v>
      </c>
      <c r="L170" s="7" t="n">
        <v>4385.18</v>
      </c>
      <c r="M170" s="7" t="inlineStr">
        <is>
          <t>Pending</t>
        </is>
      </c>
    </row>
    <row r="171">
      <c r="A171" s="7" t="inlineStr">
        <is>
          <t>PO-00151</t>
        </is>
      </c>
      <c r="B171" s="9" t="n">
        <v>45762</v>
      </c>
      <c r="C171" s="7" t="inlineStr">
        <is>
          <t>Invoice</t>
        </is>
      </c>
      <c r="D171" s="7" t="inlineStr">
        <is>
          <t>SUP005</t>
        </is>
      </c>
      <c r="E171" s="7" t="inlineStr">
        <is>
          <t>Metro Logistics</t>
        </is>
      </c>
      <c r="F171" s="7" t="inlineStr">
        <is>
          <t>Logistics</t>
        </is>
      </c>
      <c r="G171" s="7" t="inlineStr">
        <is>
          <t>Courier services</t>
        </is>
      </c>
      <c r="H171" s="7" t="inlineStr">
        <is>
          <t>Technology</t>
        </is>
      </c>
      <c r="I171" s="7" t="inlineStr">
        <is>
          <t>North</t>
        </is>
      </c>
      <c r="J171" s="7" t="n">
        <v>98</v>
      </c>
      <c r="K171" s="7" t="n">
        <v>240.09</v>
      </c>
      <c r="L171" s="7" t="n">
        <v>23528.36</v>
      </c>
      <c r="M171" s="7" t="inlineStr">
        <is>
          <t>Paid</t>
        </is>
      </c>
    </row>
    <row r="172">
      <c r="A172" s="7" t="inlineStr">
        <is>
          <t>PO-00265</t>
        </is>
      </c>
      <c r="B172" s="9" t="n">
        <v>45762</v>
      </c>
      <c r="C172" s="7" t="inlineStr">
        <is>
          <t>Purchase Order</t>
        </is>
      </c>
      <c r="D172" s="7" t="inlineStr">
        <is>
          <t>SUP006</t>
        </is>
      </c>
      <c r="E172" s="7" t="inlineStr">
        <is>
          <t>Metro Logistics Pvt Ltd</t>
        </is>
      </c>
      <c r="F172" s="7" t="inlineStr">
        <is>
          <t>Logistics</t>
        </is>
      </c>
      <c r="G172" s="7" t="inlineStr">
        <is>
          <t>Warehouse handling</t>
        </is>
      </c>
      <c r="H172" s="7" t="inlineStr">
        <is>
          <t>Operations</t>
        </is>
      </c>
      <c r="I172" s="7" t="inlineStr">
        <is>
          <t>North</t>
        </is>
      </c>
      <c r="J172" s="7" t="n">
        <v>111</v>
      </c>
      <c r="K172" s="7" t="n">
        <v>14.36</v>
      </c>
      <c r="L172" s="7" t="n">
        <v>1593.57</v>
      </c>
      <c r="M172" s="7" t="inlineStr">
        <is>
          <t>Pending</t>
        </is>
      </c>
    </row>
    <row r="173">
      <c r="A173" s="7" t="inlineStr">
        <is>
          <t>PO-00392</t>
        </is>
      </c>
      <c r="B173" s="9" t="n">
        <v>45763</v>
      </c>
      <c r="C173" s="7" t="inlineStr">
        <is>
          <t>Purchase Order</t>
        </is>
      </c>
      <c r="D173" s="7" t="inlineStr">
        <is>
          <t>SUP003</t>
        </is>
      </c>
      <c r="E173" s="7" t="inlineStr">
        <is>
          <t>Northstar IT Services</t>
        </is>
      </c>
      <c r="F173" s="7" t="inlineStr">
        <is>
          <t>IT Services</t>
        </is>
      </c>
      <c r="G173" s="7" t="inlineStr">
        <is>
          <t>Cloud services</t>
        </is>
      </c>
      <c r="H173" s="7" t="inlineStr">
        <is>
          <t>Sales</t>
        </is>
      </c>
      <c r="I173" s="7" t="inlineStr">
        <is>
          <t>West</t>
        </is>
      </c>
      <c r="J173" s="7" t="n">
        <v>61</v>
      </c>
      <c r="K173" s="7" t="n">
        <v>490.21</v>
      </c>
      <c r="L173" s="7" t="n">
        <v>29902.65</v>
      </c>
      <c r="M173" s="7" t="inlineStr">
        <is>
          <t>Pending</t>
        </is>
      </c>
    </row>
    <row r="174">
      <c r="A174" s="7" t="inlineStr">
        <is>
          <t>PO-00262</t>
        </is>
      </c>
      <c r="B174" s="9" t="n">
        <v>45764</v>
      </c>
      <c r="C174" s="7" t="inlineStr">
        <is>
          <t>Purchase Order</t>
        </is>
      </c>
      <c r="D174" s="7" t="inlineStr">
        <is>
          <t>SUP006</t>
        </is>
      </c>
      <c r="E174" s="7" t="inlineStr">
        <is>
          <t>Metro Logistics Pvt Ltd</t>
        </is>
      </c>
      <c r="F174" s="7" t="inlineStr">
        <is>
          <t>Logistics</t>
        </is>
      </c>
      <c r="G174" s="7" t="inlineStr">
        <is>
          <t>Warehouse handling</t>
        </is>
      </c>
      <c r="H174" s="7" t="inlineStr">
        <is>
          <t>Corporate</t>
        </is>
      </c>
      <c r="I174" s="7" t="inlineStr">
        <is>
          <t>West</t>
        </is>
      </c>
      <c r="J174" s="7" t="n">
        <v>28</v>
      </c>
      <c r="K174" s="7" t="n">
        <v>994.0599999999999</v>
      </c>
      <c r="L174" s="7" t="n">
        <v>27833.79</v>
      </c>
      <c r="M174" s="7" t="inlineStr">
        <is>
          <t>Paid</t>
        </is>
      </c>
    </row>
    <row r="175">
      <c r="A175" s="7" t="inlineStr">
        <is>
          <t>PO-00294</t>
        </is>
      </c>
      <c r="B175" s="9" t="n">
        <v>45765</v>
      </c>
      <c r="C175" s="7" t="inlineStr">
        <is>
          <t>Invoice</t>
        </is>
      </c>
      <c r="D175" s="7" t="inlineStr">
        <is>
          <t>SUP008</t>
        </is>
      </c>
      <c r="E175" s="7" t="inlineStr">
        <is>
          <t>GreenLeaf Packaging</t>
        </is>
      </c>
      <c r="F175" s="7" t="inlineStr">
        <is>
          <t>Packaging</t>
        </is>
      </c>
      <c r="G175" s="7" t="inlineStr">
        <is>
          <t>Labels</t>
        </is>
      </c>
      <c r="H175" s="7" t="inlineStr">
        <is>
          <t>Sales</t>
        </is>
      </c>
      <c r="I175" s="7" t="inlineStr">
        <is>
          <t>South</t>
        </is>
      </c>
      <c r="J175" s="7" t="n">
        <v>9</v>
      </c>
      <c r="K175" s="7" t="n">
        <v>1664.81</v>
      </c>
      <c r="L175" s="7" t="n">
        <v>14983.32</v>
      </c>
      <c r="M175" s="7" t="inlineStr">
        <is>
          <t>Overdue</t>
        </is>
      </c>
    </row>
    <row r="176">
      <c r="A176" s="7" t="inlineStr">
        <is>
          <t>PO-00543</t>
        </is>
      </c>
      <c r="B176" s="9" t="n">
        <v>45765</v>
      </c>
      <c r="C176" s="7" t="inlineStr">
        <is>
          <t>Invoice</t>
        </is>
      </c>
      <c r="D176" s="7" t="inlineStr">
        <is>
          <t>SUP007</t>
        </is>
      </c>
      <c r="E176" s="7" t="inlineStr">
        <is>
          <t>BrightClean Facilities</t>
        </is>
      </c>
      <c r="F176" s="7" t="inlineStr">
        <is>
          <t>Facilities</t>
        </is>
      </c>
      <c r="G176" s="7" t="inlineStr">
        <is>
          <t>Facility maintenance</t>
        </is>
      </c>
      <c r="H176" s="7" t="inlineStr">
        <is>
          <t>Sales</t>
        </is>
      </c>
      <c r="I176" s="7" t="inlineStr">
        <is>
          <t>South</t>
        </is>
      </c>
      <c r="J176" s="7" t="n">
        <v>110</v>
      </c>
      <c r="K176" s="7" t="n">
        <v>61.61</v>
      </c>
      <c r="L176" s="7" t="n">
        <v>6776.9</v>
      </c>
      <c r="M176" s="7" t="inlineStr">
        <is>
          <t>Overdue</t>
        </is>
      </c>
    </row>
    <row r="177">
      <c r="A177" s="7" t="inlineStr">
        <is>
          <t>PO-00037</t>
        </is>
      </c>
      <c r="B177" s="9" t="n">
        <v>45765</v>
      </c>
      <c r="C177" s="7" t="inlineStr">
        <is>
          <t>Invoice</t>
        </is>
      </c>
      <c r="D177" s="7" t="inlineStr">
        <is>
          <t>SUP012</t>
        </is>
      </c>
      <c r="E177" s="7" t="inlineStr">
        <is>
          <t>Pioneer Hardware</t>
        </is>
      </c>
      <c r="F177" s="7" t="inlineStr">
        <is>
          <t>Maintenance</t>
        </is>
      </c>
      <c r="G177" s="7" t="inlineStr">
        <is>
          <t>Tools and supplies</t>
        </is>
      </c>
      <c r="H177" s="7" t="inlineStr">
        <is>
          <t>Sales</t>
        </is>
      </c>
      <c r="I177" s="7" t="inlineStr">
        <is>
          <t>East</t>
        </is>
      </c>
      <c r="J177" s="7" t="n">
        <v>110</v>
      </c>
      <c r="K177" s="7" t="n">
        <v>112.84</v>
      </c>
      <c r="L177" s="7" t="n">
        <v>12412.45</v>
      </c>
      <c r="M177" s="7" t="inlineStr">
        <is>
          <t>Paid</t>
        </is>
      </c>
    </row>
    <row r="178">
      <c r="A178" s="7" t="inlineStr">
        <is>
          <t>PO-00498</t>
        </is>
      </c>
      <c r="B178" s="9" t="n">
        <v>45766</v>
      </c>
      <c r="C178" s="7" t="inlineStr">
        <is>
          <t>Invoice</t>
        </is>
      </c>
      <c r="D178" s="7" t="inlineStr">
        <is>
          <t>SUP001</t>
        </is>
      </c>
      <c r="E178" s="7" t="inlineStr">
        <is>
          <t>Apex Office Supplies</t>
        </is>
      </c>
      <c r="F178" s="7" t="inlineStr">
        <is>
          <t>Office Supplies</t>
        </is>
      </c>
      <c r="G178" s="7" t="inlineStr">
        <is>
          <t>Toner cartridges</t>
        </is>
      </c>
      <c r="H178" s="7" t="inlineStr">
        <is>
          <t>Operations</t>
        </is>
      </c>
      <c r="I178" s="7" t="inlineStr">
        <is>
          <t>East</t>
        </is>
      </c>
      <c r="J178" s="7" t="n">
        <v>70</v>
      </c>
      <c r="K178" s="7" t="n">
        <v>140.53</v>
      </c>
      <c r="L178" s="7" t="n">
        <v>9837.23</v>
      </c>
      <c r="M178" s="7" t="inlineStr">
        <is>
          <t>Pending</t>
        </is>
      </c>
    </row>
    <row r="179">
      <c r="A179" s="7" t="inlineStr">
        <is>
          <t>PO-00412</t>
        </is>
      </c>
      <c r="B179" s="9" t="n">
        <v>45767</v>
      </c>
      <c r="C179" s="7" t="inlineStr">
        <is>
          <t>Goods Receipt</t>
        </is>
      </c>
      <c r="D179" s="7" t="inlineStr">
        <is>
          <t>SUP004</t>
        </is>
      </c>
      <c r="E179" s="7" t="inlineStr">
        <is>
          <t>North Star IT Svc</t>
        </is>
      </c>
      <c r="F179" s="7" t="inlineStr">
        <is>
          <t>IT Services</t>
        </is>
      </c>
      <c r="G179" s="7" t="inlineStr">
        <is>
          <t>Cloud services</t>
        </is>
      </c>
      <c r="H179" s="7" t="inlineStr">
        <is>
          <t>Manufacturing</t>
        </is>
      </c>
      <c r="I179" s="7" t="inlineStr">
        <is>
          <t>North</t>
        </is>
      </c>
      <c r="J179" s="7" t="n">
        <v>35</v>
      </c>
      <c r="K179" s="7" t="n">
        <v>594.38</v>
      </c>
      <c r="L179" s="7" t="n">
        <v>20803.22</v>
      </c>
      <c r="M179" s="7" t="inlineStr">
        <is>
          <t>Overdue</t>
        </is>
      </c>
    </row>
    <row r="180">
      <c r="A180" s="7" t="inlineStr">
        <is>
          <t>PO-00368</t>
        </is>
      </c>
      <c r="B180" s="9" t="n">
        <v>45767</v>
      </c>
      <c r="C180" s="7" t="inlineStr">
        <is>
          <t>Purchase Order</t>
        </is>
      </c>
      <c r="D180" s="7" t="inlineStr">
        <is>
          <t>SUP003</t>
        </is>
      </c>
      <c r="E180" s="7" t="inlineStr">
        <is>
          <t>Northstar IT Services</t>
        </is>
      </c>
      <c r="F180" s="7" t="inlineStr">
        <is>
          <t>IT Services</t>
        </is>
      </c>
      <c r="G180" s="7" t="inlineStr">
        <is>
          <t>IT consulting</t>
        </is>
      </c>
      <c r="H180" s="7" t="inlineStr">
        <is>
          <t>Manufacturing</t>
        </is>
      </c>
      <c r="I180" s="7" t="inlineStr">
        <is>
          <t>South</t>
        </is>
      </c>
      <c r="J180" s="7" t="n">
        <v>20</v>
      </c>
      <c r="K180" s="7" t="n">
        <v>688.05</v>
      </c>
      <c r="L180" s="7" t="n">
        <v>13760.96</v>
      </c>
      <c r="M180" s="7" t="inlineStr">
        <is>
          <t>Overdue</t>
        </is>
      </c>
    </row>
    <row r="181">
      <c r="A181" s="7" t="inlineStr">
        <is>
          <t>PO-00511</t>
        </is>
      </c>
      <c r="B181" s="9" t="n">
        <v>45768</v>
      </c>
      <c r="C181" s="7" t="inlineStr">
        <is>
          <t>Purchase Order</t>
        </is>
      </c>
      <c r="D181" s="7" t="inlineStr">
        <is>
          <t>SUP008</t>
        </is>
      </c>
      <c r="E181" s="7" t="inlineStr">
        <is>
          <t>GreenLeaf Packaging</t>
        </is>
      </c>
      <c r="F181" s="7" t="inlineStr">
        <is>
          <t>Packaging</t>
        </is>
      </c>
      <c r="G181" s="7" t="inlineStr">
        <is>
          <t>Corrugated boxes</t>
        </is>
      </c>
      <c r="H181" s="7" t="inlineStr">
        <is>
          <t>Sales</t>
        </is>
      </c>
      <c r="I181" s="7" t="inlineStr">
        <is>
          <t>South</t>
        </is>
      </c>
      <c r="J181" s="7" t="n">
        <v>62</v>
      </c>
      <c r="K181" s="7" t="n">
        <v>137.89</v>
      </c>
      <c r="L181" s="7" t="n">
        <v>8548.870000000001</v>
      </c>
      <c r="M181" s="7" t="inlineStr">
        <is>
          <t>Overdue</t>
        </is>
      </c>
    </row>
    <row r="182">
      <c r="A182" s="7" t="inlineStr">
        <is>
          <t>PO-00270</t>
        </is>
      </c>
      <c r="B182" s="9" t="n">
        <v>45769</v>
      </c>
      <c r="C182" s="7" t="inlineStr">
        <is>
          <t>Goods Receipt</t>
        </is>
      </c>
      <c r="D182" s="7" t="inlineStr">
        <is>
          <t>SUP009</t>
        </is>
      </c>
      <c r="E182" s="7" t="inlineStr">
        <is>
          <t>Summit Consulting</t>
        </is>
      </c>
      <c r="F182" s="7" t="inlineStr">
        <is>
          <t>Professional Services</t>
        </is>
      </c>
      <c r="G182" s="7" t="inlineStr">
        <is>
          <t>Audit support</t>
        </is>
      </c>
      <c r="H182" s="7" t="inlineStr">
        <is>
          <t>Sales</t>
        </is>
      </c>
      <c r="I182" s="7" t="inlineStr">
        <is>
          <t>West</t>
        </is>
      </c>
      <c r="J182" s="7" t="n">
        <v>82</v>
      </c>
      <c r="K182" s="7" t="n">
        <v>24.9</v>
      </c>
      <c r="L182" s="7" t="n">
        <v>2041.44</v>
      </c>
      <c r="M182" s="7" t="inlineStr">
        <is>
          <t>Paid</t>
        </is>
      </c>
    </row>
    <row r="183">
      <c r="A183" s="7" t="inlineStr">
        <is>
          <t>PO-00062</t>
        </is>
      </c>
      <c r="B183" s="9" t="n">
        <v>45770</v>
      </c>
      <c r="C183" s="7" t="inlineStr">
        <is>
          <t>Goods Receipt</t>
        </is>
      </c>
      <c r="D183" s="7" t="inlineStr">
        <is>
          <t>SUP005</t>
        </is>
      </c>
      <c r="E183" s="7" t="inlineStr">
        <is>
          <t>Metro Logistics</t>
        </is>
      </c>
      <c r="F183" s="7" t="inlineStr">
        <is>
          <t>Logistics</t>
        </is>
      </c>
      <c r="G183" s="7" t="inlineStr">
        <is>
          <t>Warehouse handling</t>
        </is>
      </c>
      <c r="H183" s="7" t="inlineStr">
        <is>
          <t>Sales</t>
        </is>
      </c>
      <c r="I183" s="7" t="inlineStr">
        <is>
          <t>South</t>
        </is>
      </c>
      <c r="J183" s="7" t="n">
        <v>44</v>
      </c>
      <c r="K183" s="7" t="n">
        <v>24.69</v>
      </c>
      <c r="L183" s="7" t="n">
        <v>1086.24</v>
      </c>
      <c r="M183" s="7" t="inlineStr">
        <is>
          <t>Pending</t>
        </is>
      </c>
    </row>
    <row r="184">
      <c r="A184" s="7" t="inlineStr">
        <is>
          <t>PO-00502</t>
        </is>
      </c>
      <c r="B184" s="9" t="n">
        <v>45770</v>
      </c>
      <c r="C184" s="7" t="inlineStr">
        <is>
          <t>Purchase Order</t>
        </is>
      </c>
      <c r="D184" s="7" t="inlineStr">
        <is>
          <t>SUP008</t>
        </is>
      </c>
      <c r="E184" s="7" t="inlineStr">
        <is>
          <t>GreenLeaf Packaging</t>
        </is>
      </c>
      <c r="F184" s="7" t="inlineStr">
        <is>
          <t>Packaging</t>
        </is>
      </c>
      <c r="G184" s="7" t="inlineStr">
        <is>
          <t>Labels</t>
        </is>
      </c>
      <c r="H184" s="7" t="inlineStr">
        <is>
          <t>Operations</t>
        </is>
      </c>
      <c r="I184" s="7" t="inlineStr">
        <is>
          <t>East</t>
        </is>
      </c>
      <c r="J184" s="7" t="n">
        <v>30</v>
      </c>
      <c r="K184" s="7" t="n">
        <v>161.56</v>
      </c>
      <c r="L184" s="7" t="n">
        <v>4846.71</v>
      </c>
      <c r="M184" s="7" t="inlineStr">
        <is>
          <t>Pending</t>
        </is>
      </c>
    </row>
    <row r="185">
      <c r="A185" s="7" t="inlineStr">
        <is>
          <t>PO-00199</t>
        </is>
      </c>
      <c r="B185" s="9" t="n">
        <v>45772</v>
      </c>
      <c r="C185" s="7" t="inlineStr">
        <is>
          <t>Invoice</t>
        </is>
      </c>
      <c r="D185" s="7" t="inlineStr">
        <is>
          <t>SUP002</t>
        </is>
      </c>
      <c r="E185" s="7" t="inlineStr">
        <is>
          <t>Apex Office Supply Ltd</t>
        </is>
      </c>
      <c r="F185" s="7" t="inlineStr">
        <is>
          <t>Office Supplies</t>
        </is>
      </c>
      <c r="G185" s="7" t="inlineStr">
        <is>
          <t>Printer paper</t>
        </is>
      </c>
      <c r="H185" s="7" t="inlineStr">
        <is>
          <t>Technology</t>
        </is>
      </c>
      <c r="I185" s="7" t="inlineStr">
        <is>
          <t>East</t>
        </is>
      </c>
      <c r="J185" s="7" t="n">
        <v>31</v>
      </c>
      <c r="K185" s="7" t="n">
        <v>460.71</v>
      </c>
      <c r="L185" s="7" t="n">
        <v>14282.13</v>
      </c>
      <c r="M185" s="7" t="inlineStr">
        <is>
          <t>Pending</t>
        </is>
      </c>
    </row>
    <row r="186">
      <c r="A186" s="7" t="inlineStr">
        <is>
          <t>PO-00499</t>
        </is>
      </c>
      <c r="B186" s="9" t="n">
        <v>45772</v>
      </c>
      <c r="C186" s="7" t="inlineStr">
        <is>
          <t>Goods Receipt</t>
        </is>
      </c>
      <c r="D186" s="7" t="inlineStr">
        <is>
          <t>SUP010</t>
        </is>
      </c>
      <c r="E186" s="7" t="inlineStr">
        <is>
          <t>Urban Energy Solutions</t>
        </is>
      </c>
      <c r="F186" s="7" t="inlineStr">
        <is>
          <t>Utilities</t>
        </is>
      </c>
      <c r="G186" s="7" t="inlineStr">
        <is>
          <t>Natural gas</t>
        </is>
      </c>
      <c r="H186" s="7" t="inlineStr">
        <is>
          <t>Corporate</t>
        </is>
      </c>
      <c r="I186" s="7" t="inlineStr">
        <is>
          <t>West</t>
        </is>
      </c>
      <c r="J186" s="7" t="n">
        <v>60</v>
      </c>
      <c r="K186" s="7" t="n">
        <v>88.72</v>
      </c>
      <c r="L186" s="7" t="n">
        <v>5323.06</v>
      </c>
      <c r="M186" s="7" t="inlineStr">
        <is>
          <t>Pending</t>
        </is>
      </c>
    </row>
    <row r="187">
      <c r="A187" s="7" t="inlineStr">
        <is>
          <t>PO-00169</t>
        </is>
      </c>
      <c r="B187" s="9" t="n">
        <v>45773</v>
      </c>
      <c r="C187" s="7" t="inlineStr">
        <is>
          <t>Purchase Order</t>
        </is>
      </c>
      <c r="D187" s="7" t="inlineStr">
        <is>
          <t>SUP003</t>
        </is>
      </c>
      <c r="E187" s="7" t="inlineStr">
        <is>
          <t>Northstar IT Services</t>
        </is>
      </c>
      <c r="F187" s="7" t="inlineStr">
        <is>
          <t>IT Services</t>
        </is>
      </c>
      <c r="G187" s="7" t="inlineStr">
        <is>
          <t>IT consulting</t>
        </is>
      </c>
      <c r="H187" s="7" t="inlineStr">
        <is>
          <t>Manufacturing</t>
        </is>
      </c>
      <c r="I187" s="7" t="inlineStr">
        <is>
          <t>North</t>
        </is>
      </c>
      <c r="J187" s="7" t="n">
        <v>101</v>
      </c>
      <c r="K187" s="7" t="n">
        <v>91.04000000000001</v>
      </c>
      <c r="L187" s="7" t="n">
        <v>9194.9</v>
      </c>
      <c r="M187" s="7" t="inlineStr">
        <is>
          <t>Overdue</t>
        </is>
      </c>
    </row>
    <row r="188">
      <c r="A188" s="7" t="inlineStr">
        <is>
          <t>PO-00122</t>
        </is>
      </c>
      <c r="B188" s="9" t="n">
        <v>45773</v>
      </c>
      <c r="C188" s="7" t="inlineStr">
        <is>
          <t>Goods Receipt</t>
        </is>
      </c>
      <c r="D188" s="7" t="inlineStr">
        <is>
          <t>SUP011</t>
        </is>
      </c>
      <c r="E188" s="7" t="inlineStr">
        <is>
          <t>Vertex Marketing</t>
        </is>
      </c>
      <c r="F188" s="7" t="inlineStr">
        <is>
          <t>Marketing</t>
        </is>
      </c>
      <c r="G188" s="7" t="inlineStr">
        <is>
          <t>Print advertising</t>
        </is>
      </c>
      <c r="H188" s="7" t="inlineStr">
        <is>
          <t>Corporate</t>
        </is>
      </c>
      <c r="I188" s="7" t="inlineStr">
        <is>
          <t>West</t>
        </is>
      </c>
      <c r="J188" s="7" t="n">
        <v>109</v>
      </c>
      <c r="K188" s="7" t="n">
        <v>161.85</v>
      </c>
      <c r="L188" s="7" t="n">
        <v>17641.37</v>
      </c>
      <c r="M188" s="7" t="inlineStr">
        <is>
          <t>Paid</t>
        </is>
      </c>
    </row>
    <row r="189">
      <c r="A189" s="7" t="inlineStr">
        <is>
          <t>PO-00044</t>
        </is>
      </c>
      <c r="B189" s="9" t="n">
        <v>45774</v>
      </c>
      <c r="C189" s="7" t="inlineStr">
        <is>
          <t>Purchase Order</t>
        </is>
      </c>
      <c r="D189" s="7" t="inlineStr">
        <is>
          <t>SUP004</t>
        </is>
      </c>
      <c r="E189" s="7" t="inlineStr">
        <is>
          <t>North Star IT Svc</t>
        </is>
      </c>
      <c r="F189" s="7" t="inlineStr">
        <is>
          <t>Facilities</t>
        </is>
      </c>
      <c r="G189" s="7" t="inlineStr">
        <is>
          <t>Facility maintenance</t>
        </is>
      </c>
      <c r="H189" s="7" t="inlineStr">
        <is>
          <t>Technology</t>
        </is>
      </c>
      <c r="I189" s="7" t="inlineStr">
        <is>
          <t>West</t>
        </is>
      </c>
      <c r="J189" s="7" t="n">
        <v>36</v>
      </c>
      <c r="K189" s="7" t="n">
        <v>201.24</v>
      </c>
      <c r="L189" s="7" t="n">
        <v>7244.57</v>
      </c>
      <c r="M189" s="7" t="inlineStr">
        <is>
          <t>Overdue</t>
        </is>
      </c>
    </row>
    <row r="190">
      <c r="A190" s="7" t="inlineStr">
        <is>
          <t>PO-00081</t>
        </is>
      </c>
      <c r="B190" s="9" t="n">
        <v>45774</v>
      </c>
      <c r="C190" s="7" t="inlineStr">
        <is>
          <t>Purchase Order</t>
        </is>
      </c>
      <c r="D190" s="7" t="inlineStr">
        <is>
          <t>SUP006</t>
        </is>
      </c>
      <c r="E190" s="7" t="inlineStr">
        <is>
          <t>Metro Logistics Pvt Ltd</t>
        </is>
      </c>
      <c r="F190" s="7" t="inlineStr">
        <is>
          <t>Logistics</t>
        </is>
      </c>
      <c r="G190" s="7" t="inlineStr">
        <is>
          <t>Courier services</t>
        </is>
      </c>
      <c r="H190" s="7" t="inlineStr">
        <is>
          <t>Corporate</t>
        </is>
      </c>
      <c r="I190" s="7" t="inlineStr">
        <is>
          <t>North</t>
        </is>
      </c>
      <c r="J190" s="7" t="n">
        <v>69</v>
      </c>
      <c r="K190" s="7" t="n">
        <v>9.19</v>
      </c>
      <c r="L190" s="7" t="n">
        <v>634.05</v>
      </c>
      <c r="M190" s="7" t="inlineStr">
        <is>
          <t>Overdue</t>
        </is>
      </c>
    </row>
    <row r="191">
      <c r="A191" s="7" t="inlineStr">
        <is>
          <t>PO-00332</t>
        </is>
      </c>
      <c r="B191" s="9" t="n">
        <v>45775</v>
      </c>
      <c r="C191" s="7" t="inlineStr">
        <is>
          <t>Invoice</t>
        </is>
      </c>
      <c r="D191" s="7" t="inlineStr">
        <is>
          <t>SUP007</t>
        </is>
      </c>
      <c r="E191" s="7" t="inlineStr"/>
      <c r="F191" s="7" t="inlineStr">
        <is>
          <t>Facilities</t>
        </is>
      </c>
      <c r="G191" s="7" t="inlineStr">
        <is>
          <t>Facility maintenance</t>
        </is>
      </c>
      <c r="H191" s="7" t="inlineStr">
        <is>
          <t>Technology</t>
        </is>
      </c>
      <c r="I191" s="7" t="inlineStr">
        <is>
          <t>South</t>
        </is>
      </c>
      <c r="J191" s="7" t="n">
        <v>14</v>
      </c>
      <c r="K191" s="7" t="n">
        <v>1037.89</v>
      </c>
      <c r="L191" s="7" t="n">
        <v>14530.51</v>
      </c>
      <c r="M191" s="7" t="inlineStr">
        <is>
          <t>Pending</t>
        </is>
      </c>
    </row>
    <row r="192">
      <c r="A192" s="7" t="inlineStr">
        <is>
          <t>PO-00089</t>
        </is>
      </c>
      <c r="B192" s="9" t="n">
        <v>45777</v>
      </c>
      <c r="C192" s="7" t="inlineStr">
        <is>
          <t>Purchase Order</t>
        </is>
      </c>
      <c r="D192" s="7" t="inlineStr">
        <is>
          <t>SUP005</t>
        </is>
      </c>
      <c r="E192" s="7" t="inlineStr">
        <is>
          <t>Metro Logistics</t>
        </is>
      </c>
      <c r="F192" s="7" t="inlineStr">
        <is>
          <t>Logistics</t>
        </is>
      </c>
      <c r="G192" s="7" t="inlineStr">
        <is>
          <t>Courier services</t>
        </is>
      </c>
      <c r="H192" s="7" t="inlineStr">
        <is>
          <t>Corporate</t>
        </is>
      </c>
      <c r="I192" s="7" t="inlineStr">
        <is>
          <t>South</t>
        </is>
      </c>
      <c r="J192" s="7" t="n">
        <v>85</v>
      </c>
      <c r="K192" s="7" t="n">
        <v>225.92</v>
      </c>
      <c r="L192" s="7" t="n">
        <v>19203.26</v>
      </c>
      <c r="M192" s="7" t="inlineStr">
        <is>
          <t>Overdue</t>
        </is>
      </c>
    </row>
    <row r="193">
      <c r="A193" s="7" t="inlineStr">
        <is>
          <t>PO-00254</t>
        </is>
      </c>
      <c r="B193" s="9" t="n">
        <v>45777</v>
      </c>
      <c r="C193" s="7" t="inlineStr">
        <is>
          <t>Purchase Order</t>
        </is>
      </c>
      <c r="D193" s="7" t="inlineStr">
        <is>
          <t>SUP009</t>
        </is>
      </c>
      <c r="E193" s="7" t="inlineStr">
        <is>
          <t>Summit Consulting</t>
        </is>
      </c>
      <c r="F193" s="7" t="inlineStr">
        <is>
          <t>Professional Services</t>
        </is>
      </c>
      <c r="G193" s="7" t="inlineStr">
        <is>
          <t>Audit support</t>
        </is>
      </c>
      <c r="H193" s="7" t="inlineStr">
        <is>
          <t>Technology</t>
        </is>
      </c>
      <c r="I193" s="7" t="inlineStr">
        <is>
          <t>South</t>
        </is>
      </c>
      <c r="J193" s="7" t="n">
        <v>8</v>
      </c>
      <c r="K193" s="7" t="n">
        <v>3307.24</v>
      </c>
      <c r="L193" s="7" t="n">
        <v>26457.94</v>
      </c>
      <c r="M193" s="7" t="inlineStr">
        <is>
          <t>Overdue</t>
        </is>
      </c>
    </row>
    <row r="194">
      <c r="A194" s="7" t="inlineStr">
        <is>
          <t>PO-00231</t>
        </is>
      </c>
      <c r="B194" s="9" t="n">
        <v>45777</v>
      </c>
      <c r="C194" s="7" t="inlineStr">
        <is>
          <t>Purchase Order</t>
        </is>
      </c>
      <c r="D194" s="7" t="inlineStr">
        <is>
          <t>SUP001</t>
        </is>
      </c>
      <c r="E194" s="7" t="inlineStr">
        <is>
          <t>Apex Office Supplies</t>
        </is>
      </c>
      <c r="F194" s="7" t="inlineStr">
        <is>
          <t>Office Supplies</t>
        </is>
      </c>
      <c r="G194" s="7" t="inlineStr">
        <is>
          <t>Toner cartridges</t>
        </is>
      </c>
      <c r="H194" s="7" t="inlineStr">
        <is>
          <t>Operations</t>
        </is>
      </c>
      <c r="I194" s="7" t="inlineStr">
        <is>
          <t>North</t>
        </is>
      </c>
      <c r="J194" s="7" t="n">
        <v>61</v>
      </c>
      <c r="K194" s="7" t="n">
        <v>98.78</v>
      </c>
      <c r="L194" s="7" t="n">
        <v>6025.65</v>
      </c>
      <c r="M194" s="7" t="inlineStr">
        <is>
          <t>Overdue</t>
        </is>
      </c>
    </row>
    <row r="195">
      <c r="A195" s="7" t="inlineStr">
        <is>
          <t>PO-00554</t>
        </is>
      </c>
      <c r="B195" s="9" t="n">
        <v>45778</v>
      </c>
      <c r="C195" s="7" t="inlineStr">
        <is>
          <t>Purchase Order</t>
        </is>
      </c>
      <c r="D195" s="7" t="inlineStr">
        <is>
          <t>SUP011</t>
        </is>
      </c>
      <c r="E195" s="7" t="inlineStr">
        <is>
          <t>Vertex Marketing</t>
        </is>
      </c>
      <c r="F195" s="7" t="inlineStr">
        <is>
          <t>Marketing</t>
        </is>
      </c>
      <c r="G195" s="7" t="inlineStr">
        <is>
          <t>Digital campaign</t>
        </is>
      </c>
      <c r="H195" s="7" t="inlineStr">
        <is>
          <t>Operations</t>
        </is>
      </c>
      <c r="I195" s="7" t="inlineStr">
        <is>
          <t>West</t>
        </is>
      </c>
      <c r="J195" s="7" t="n">
        <v>96</v>
      </c>
      <c r="K195" s="7" t="n">
        <v>139.8</v>
      </c>
      <c r="L195" s="7" t="n">
        <v>13420.49</v>
      </c>
      <c r="M195" s="7" t="inlineStr">
        <is>
          <t>Paid</t>
        </is>
      </c>
    </row>
    <row r="196">
      <c r="A196" s="7" t="inlineStr">
        <is>
          <t>PO-00193</t>
        </is>
      </c>
      <c r="B196" s="9" t="n">
        <v>45778</v>
      </c>
      <c r="C196" s="7" t="inlineStr">
        <is>
          <t>Purchase Order</t>
        </is>
      </c>
      <c r="D196" s="7" t="inlineStr">
        <is>
          <t>SUP011</t>
        </is>
      </c>
      <c r="E196" s="7" t="inlineStr">
        <is>
          <t>Vertex Marketing</t>
        </is>
      </c>
      <c r="F196" s="7" t="inlineStr">
        <is>
          <t>Marketing</t>
        </is>
      </c>
      <c r="G196" s="7" t="inlineStr">
        <is>
          <t>Promotional materials</t>
        </is>
      </c>
      <c r="H196" s="7" t="inlineStr">
        <is>
          <t>Operations</t>
        </is>
      </c>
      <c r="I196" s="7" t="inlineStr">
        <is>
          <t>West</t>
        </is>
      </c>
      <c r="J196" s="7" t="n">
        <v>73</v>
      </c>
      <c r="K196" s="7" t="n">
        <v>95.42</v>
      </c>
      <c r="L196" s="7" t="n">
        <v>6965.44</v>
      </c>
      <c r="M196" s="7" t="inlineStr">
        <is>
          <t>Pending</t>
        </is>
      </c>
    </row>
    <row r="197">
      <c r="A197" s="7" t="inlineStr">
        <is>
          <t>PO-00027</t>
        </is>
      </c>
      <c r="B197" s="9" t="n">
        <v>45779</v>
      </c>
      <c r="C197" s="7" t="inlineStr">
        <is>
          <t>Invoice</t>
        </is>
      </c>
      <c r="D197" s="7" t="inlineStr">
        <is>
          <t>SUP003</t>
        </is>
      </c>
      <c r="E197" s="7" t="inlineStr">
        <is>
          <t>Northstar IT Services</t>
        </is>
      </c>
      <c r="F197" s="7" t="inlineStr">
        <is>
          <t>IT Services</t>
        </is>
      </c>
      <c r="G197" s="7" t="inlineStr">
        <is>
          <t>Software support</t>
        </is>
      </c>
      <c r="H197" s="7" t="inlineStr">
        <is>
          <t>Operations</t>
        </is>
      </c>
      <c r="I197" s="7" t="inlineStr">
        <is>
          <t>West</t>
        </is>
      </c>
      <c r="J197" s="7" t="n">
        <v>111</v>
      </c>
      <c r="K197" s="7" t="n">
        <v>133.65</v>
      </c>
      <c r="L197" s="7" t="n">
        <v>14835.37</v>
      </c>
      <c r="M197" s="7" t="inlineStr">
        <is>
          <t>Paid</t>
        </is>
      </c>
    </row>
    <row r="198">
      <c r="A198" s="7" t="inlineStr">
        <is>
          <t>PO-00318</t>
        </is>
      </c>
      <c r="B198" s="9" t="n">
        <v>45779</v>
      </c>
      <c r="C198" s="7" t="inlineStr">
        <is>
          <t>Goods Receipt</t>
        </is>
      </c>
      <c r="D198" s="7" t="inlineStr">
        <is>
          <t>SUP004</t>
        </is>
      </c>
      <c r="E198" s="7" t="inlineStr">
        <is>
          <t>North Star IT Svc</t>
        </is>
      </c>
      <c r="F198" s="7" t="inlineStr">
        <is>
          <t>IT Services</t>
        </is>
      </c>
      <c r="G198" s="7" t="inlineStr">
        <is>
          <t>IT consulting</t>
        </is>
      </c>
      <c r="H198" s="7" t="inlineStr">
        <is>
          <t>Sales</t>
        </is>
      </c>
      <c r="I198" s="7" t="inlineStr">
        <is>
          <t>South</t>
        </is>
      </c>
      <c r="J198" s="7" t="n">
        <v>45</v>
      </c>
      <c r="K198" s="7" t="n">
        <v>401.66</v>
      </c>
      <c r="L198" s="7" t="n">
        <v>18074.53</v>
      </c>
      <c r="M198" s="7" t="inlineStr">
        <is>
          <t>Overdue</t>
        </is>
      </c>
    </row>
    <row r="199">
      <c r="A199" s="7" t="inlineStr">
        <is>
          <t>PO-00058</t>
        </is>
      </c>
      <c r="B199" s="9" t="n">
        <v>45780</v>
      </c>
      <c r="C199" s="7" t="inlineStr">
        <is>
          <t>Invoice</t>
        </is>
      </c>
      <c r="D199" s="7" t="inlineStr">
        <is>
          <t>SUP005</t>
        </is>
      </c>
      <c r="E199" s="7" t="inlineStr">
        <is>
          <t>Metro Logistics</t>
        </is>
      </c>
      <c r="F199" s="7" t="inlineStr">
        <is>
          <t>Logistics</t>
        </is>
      </c>
      <c r="G199" s="7" t="inlineStr">
        <is>
          <t>Courier services</t>
        </is>
      </c>
      <c r="H199" s="7" t="inlineStr">
        <is>
          <t>Technology</t>
        </is>
      </c>
      <c r="I199" s="7" t="inlineStr">
        <is>
          <t>North</t>
        </is>
      </c>
      <c r="J199" s="7" t="n">
        <v>31</v>
      </c>
      <c r="K199" s="7" t="n">
        <v>706.22</v>
      </c>
      <c r="L199" s="7" t="n">
        <v>21892.91</v>
      </c>
      <c r="M199" s="7" t="inlineStr">
        <is>
          <t>Paid</t>
        </is>
      </c>
    </row>
    <row r="200">
      <c r="A200" s="7" t="inlineStr">
        <is>
          <t>PO-00105</t>
        </is>
      </c>
      <c r="B200" s="9" t="n">
        <v>45780</v>
      </c>
      <c r="C200" s="7" t="inlineStr">
        <is>
          <t>Purchase Order</t>
        </is>
      </c>
      <c r="D200" s="7" t="inlineStr">
        <is>
          <t>SUP010</t>
        </is>
      </c>
      <c r="E200" s="7" t="inlineStr">
        <is>
          <t>Urban Energy Solutions</t>
        </is>
      </c>
      <c r="F200" s="7" t="inlineStr">
        <is>
          <t>Utilities</t>
        </is>
      </c>
      <c r="G200" s="7" t="inlineStr">
        <is>
          <t>Water services</t>
        </is>
      </c>
      <c r="H200" s="7" t="inlineStr">
        <is>
          <t>Sales</t>
        </is>
      </c>
      <c r="I200" s="7" t="inlineStr">
        <is>
          <t>West</t>
        </is>
      </c>
      <c r="J200" s="7" t="n">
        <v>53</v>
      </c>
      <c r="K200" s="7" t="n">
        <v>291.05</v>
      </c>
      <c r="L200" s="7" t="n">
        <v>15425.51</v>
      </c>
      <c r="M200" s="7" t="inlineStr">
        <is>
          <t>Pending</t>
        </is>
      </c>
    </row>
    <row r="201">
      <c r="A201" s="7" t="inlineStr">
        <is>
          <t>PO-00418</t>
        </is>
      </c>
      <c r="B201" s="9" t="n">
        <v>45781</v>
      </c>
      <c r="C201" s="7" t="inlineStr">
        <is>
          <t>Invoice</t>
        </is>
      </c>
      <c r="D201" s="7" t="inlineStr">
        <is>
          <t>SUP001</t>
        </is>
      </c>
      <c r="E201" s="7" t="inlineStr">
        <is>
          <t>Apex Office Supplies</t>
        </is>
      </c>
      <c r="F201" s="7" t="inlineStr">
        <is>
          <t>Office Supplies</t>
        </is>
      </c>
      <c r="G201" s="7" t="inlineStr">
        <is>
          <t>Toner cartridges</t>
        </is>
      </c>
      <c r="H201" s="7" t="inlineStr">
        <is>
          <t>Technology</t>
        </is>
      </c>
      <c r="I201" s="7" t="inlineStr">
        <is>
          <t>South</t>
        </is>
      </c>
      <c r="J201" s="7" t="n">
        <v>77</v>
      </c>
      <c r="K201" s="7" t="n">
        <v>187.87</v>
      </c>
      <c r="L201" s="7" t="n">
        <v>14466.26</v>
      </c>
      <c r="M201" s="7" t="inlineStr">
        <is>
          <t>Overdue</t>
        </is>
      </c>
    </row>
    <row r="202">
      <c r="A202" s="7" t="inlineStr">
        <is>
          <t>PO-00304</t>
        </is>
      </c>
      <c r="B202" s="9" t="n">
        <v>45782</v>
      </c>
      <c r="C202" s="7" t="inlineStr">
        <is>
          <t>Invoice</t>
        </is>
      </c>
      <c r="D202" s="7" t="inlineStr">
        <is>
          <t>SUP009</t>
        </is>
      </c>
      <c r="E202" s="7" t="inlineStr">
        <is>
          <t>Summit Consulting</t>
        </is>
      </c>
      <c r="F202" s="7" t="inlineStr">
        <is>
          <t>Professional Services</t>
        </is>
      </c>
      <c r="G202" s="7" t="inlineStr">
        <is>
          <t>Training services</t>
        </is>
      </c>
      <c r="H202" s="7" t="inlineStr">
        <is>
          <t>Operations</t>
        </is>
      </c>
      <c r="I202" s="7" t="inlineStr">
        <is>
          <t>West</t>
        </is>
      </c>
      <c r="J202" s="7" t="n">
        <v>72</v>
      </c>
      <c r="K202" s="7" t="n">
        <v>70.44</v>
      </c>
      <c r="L202" s="7" t="n">
        <v>5071.49</v>
      </c>
      <c r="M202" s="7" t="inlineStr">
        <is>
          <t>Overdue</t>
        </is>
      </c>
    </row>
    <row r="203">
      <c r="A203" s="7" t="inlineStr">
        <is>
          <t>PO-00267</t>
        </is>
      </c>
      <c r="B203" s="9" t="n">
        <v>45783</v>
      </c>
      <c r="C203" s="7" t="inlineStr">
        <is>
          <t>Invoice</t>
        </is>
      </c>
      <c r="D203" s="7" t="inlineStr">
        <is>
          <t>SUP008</t>
        </is>
      </c>
      <c r="E203" s="7" t="inlineStr">
        <is>
          <t>GreenLeaf Packaging</t>
        </is>
      </c>
      <c r="F203" s="7" t="inlineStr">
        <is>
          <t>Packaging</t>
        </is>
      </c>
      <c r="G203" s="7" t="inlineStr">
        <is>
          <t>Protective packaging</t>
        </is>
      </c>
      <c r="H203" s="7" t="inlineStr">
        <is>
          <t>Sales</t>
        </is>
      </c>
      <c r="I203" s="7" t="inlineStr">
        <is>
          <t>West</t>
        </is>
      </c>
      <c r="J203" s="7" t="n">
        <v>44</v>
      </c>
      <c r="K203" s="7" t="n">
        <v>386.12</v>
      </c>
      <c r="L203" s="7" t="n">
        <v>16989.15</v>
      </c>
      <c r="M203" s="7" t="inlineStr">
        <is>
          <t>Paid</t>
        </is>
      </c>
    </row>
    <row r="204">
      <c r="A204" s="7" t="inlineStr">
        <is>
          <t>PO-00163</t>
        </is>
      </c>
      <c r="B204" s="9" t="n">
        <v>45784</v>
      </c>
      <c r="C204" s="7" t="inlineStr">
        <is>
          <t>Goods Receipt</t>
        </is>
      </c>
      <c r="D204" s="7" t="inlineStr">
        <is>
          <t>SUP012</t>
        </is>
      </c>
      <c r="E204" s="7" t="inlineStr">
        <is>
          <t>Pioneer Hardware</t>
        </is>
      </c>
      <c r="F204" s="7" t="inlineStr">
        <is>
          <t>Maintenance</t>
        </is>
      </c>
      <c r="G204" s="7" t="inlineStr">
        <is>
          <t>Repair parts</t>
        </is>
      </c>
      <c r="H204" s="7" t="inlineStr">
        <is>
          <t>Technology</t>
        </is>
      </c>
      <c r="I204" s="7" t="inlineStr">
        <is>
          <t>East</t>
        </is>
      </c>
      <c r="J204" s="7" t="n">
        <v>67</v>
      </c>
      <c r="K204" s="7" t="n">
        <v>119.06</v>
      </c>
      <c r="L204" s="7" t="n">
        <v>7976.86</v>
      </c>
      <c r="M204" s="7" t="inlineStr">
        <is>
          <t>Pending</t>
        </is>
      </c>
    </row>
    <row r="205">
      <c r="A205" s="7" t="inlineStr">
        <is>
          <t>PO-00041</t>
        </is>
      </c>
      <c r="B205" s="9" t="n">
        <v>45785</v>
      </c>
      <c r="C205" s="7" t="inlineStr">
        <is>
          <t>Invoice</t>
        </is>
      </c>
      <c r="D205" s="7" t="inlineStr">
        <is>
          <t>SUP011</t>
        </is>
      </c>
      <c r="E205" s="7" t="inlineStr">
        <is>
          <t>Vertex Marketing</t>
        </is>
      </c>
      <c r="F205" s="7" t="inlineStr">
        <is>
          <t>Marketing</t>
        </is>
      </c>
      <c r="G205" s="7" t="inlineStr">
        <is>
          <t>Promotional materials</t>
        </is>
      </c>
      <c r="H205" s="7" t="inlineStr">
        <is>
          <t>Operations</t>
        </is>
      </c>
      <c r="I205" s="7" t="inlineStr">
        <is>
          <t>South</t>
        </is>
      </c>
      <c r="J205" s="7" t="n">
        <v>114</v>
      </c>
      <c r="K205" s="7" t="n">
        <v>123.41</v>
      </c>
      <c r="L205" s="7" t="n">
        <v>14068.48</v>
      </c>
      <c r="M205" s="7" t="inlineStr">
        <is>
          <t>Paid</t>
        </is>
      </c>
    </row>
    <row r="206">
      <c r="A206" s="7" t="inlineStr">
        <is>
          <t>PO-00026</t>
        </is>
      </c>
      <c r="B206" s="9" t="n">
        <v>45785</v>
      </c>
      <c r="C206" s="7" t="inlineStr">
        <is>
          <t>Purchase Order</t>
        </is>
      </c>
      <c r="D206" s="7" t="inlineStr">
        <is>
          <t>SUP002</t>
        </is>
      </c>
      <c r="E206" s="7" t="inlineStr">
        <is>
          <t>Apex Office Supply Ltd</t>
        </is>
      </c>
      <c r="F206" s="7" t="inlineStr">
        <is>
          <t>Office Supplies</t>
        </is>
      </c>
      <c r="G206" s="7" t="inlineStr">
        <is>
          <t>Printer paper</t>
        </is>
      </c>
      <c r="H206" s="7" t="inlineStr">
        <is>
          <t>Manufacturing</t>
        </is>
      </c>
      <c r="I206" s="7" t="inlineStr">
        <is>
          <t>North</t>
        </is>
      </c>
      <c r="J206" s="7" t="n">
        <v>71</v>
      </c>
      <c r="K206" s="7" t="n">
        <v>218.6</v>
      </c>
      <c r="L206" s="7" t="n">
        <v>15520.92</v>
      </c>
      <c r="M206" s="7" t="inlineStr">
        <is>
          <t>Paid</t>
        </is>
      </c>
    </row>
    <row r="207">
      <c r="A207" s="7" t="inlineStr">
        <is>
          <t>PO-00079</t>
        </is>
      </c>
      <c r="B207" s="9" t="n">
        <v>45786</v>
      </c>
      <c r="C207" s="7" t="inlineStr">
        <is>
          <t>Goods Receipt</t>
        </is>
      </c>
      <c r="D207" s="7" t="inlineStr">
        <is>
          <t>SUP004</t>
        </is>
      </c>
      <c r="E207" s="7" t="inlineStr">
        <is>
          <t>North Star IT Svc</t>
        </is>
      </c>
      <c r="F207" s="7" t="inlineStr">
        <is>
          <t>IT Services</t>
        </is>
      </c>
      <c r="G207" s="7" t="inlineStr">
        <is>
          <t>IT consulting</t>
        </is>
      </c>
      <c r="H207" s="7" t="inlineStr">
        <is>
          <t>Operations</t>
        </is>
      </c>
      <c r="I207" s="7" t="inlineStr">
        <is>
          <t>South</t>
        </is>
      </c>
      <c r="J207" s="7" t="n">
        <v>16</v>
      </c>
      <c r="K207" s="7" t="n">
        <v>378.61</v>
      </c>
      <c r="L207" s="7" t="n">
        <v>6057.79</v>
      </c>
      <c r="M207" s="7" t="inlineStr">
        <is>
          <t>Paid</t>
        </is>
      </c>
    </row>
    <row r="208">
      <c r="A208" s="7" t="inlineStr">
        <is>
          <t>PO-00204</t>
        </is>
      </c>
      <c r="B208" s="9" t="n">
        <v>45786</v>
      </c>
      <c r="C208" s="7" t="inlineStr">
        <is>
          <t>Goods Receipt</t>
        </is>
      </c>
      <c r="D208" s="7" t="inlineStr">
        <is>
          <t>SUP004</t>
        </is>
      </c>
      <c r="E208" s="7" t="inlineStr">
        <is>
          <t>North Star IT Svc</t>
        </is>
      </c>
      <c r="F208" s="7" t="inlineStr">
        <is>
          <t>IT Services</t>
        </is>
      </c>
      <c r="G208" s="7" t="inlineStr">
        <is>
          <t>Cloud services</t>
        </is>
      </c>
      <c r="H208" s="7" t="inlineStr">
        <is>
          <t>Manufacturing</t>
        </is>
      </c>
      <c r="I208" s="7" t="inlineStr">
        <is>
          <t>North</t>
        </is>
      </c>
      <c r="J208" s="7" t="n">
        <v>17</v>
      </c>
      <c r="K208" s="7" t="n">
        <v>996.9</v>
      </c>
      <c r="L208" s="7" t="n">
        <v>16947.38</v>
      </c>
      <c r="M208" s="7" t="inlineStr">
        <is>
          <t>Overdue</t>
        </is>
      </c>
    </row>
    <row r="209">
      <c r="A209" s="7" t="inlineStr">
        <is>
          <t>PO-00505</t>
        </is>
      </c>
      <c r="B209" s="9" t="n">
        <v>45786</v>
      </c>
      <c r="C209" s="7" t="inlineStr">
        <is>
          <t>Invoice</t>
        </is>
      </c>
      <c r="D209" s="7" t="inlineStr">
        <is>
          <t>SUP007</t>
        </is>
      </c>
      <c r="E209" s="7" t="inlineStr">
        <is>
          <t>BrightClean Facilities</t>
        </is>
      </c>
      <c r="F209" s="7" t="inlineStr">
        <is>
          <t>Facilities</t>
        </is>
      </c>
      <c r="G209" s="7" t="inlineStr">
        <is>
          <t>Facility maintenance</t>
        </is>
      </c>
      <c r="H209" s="7" t="inlineStr">
        <is>
          <t>Sales</t>
        </is>
      </c>
      <c r="I209" s="7" t="inlineStr">
        <is>
          <t>West</t>
        </is>
      </c>
      <c r="J209" s="7" t="n">
        <v>52</v>
      </c>
      <c r="K209" s="7" t="n">
        <v>78.95</v>
      </c>
      <c r="L209" s="7" t="n">
        <v>4105.44</v>
      </c>
      <c r="M209" s="7" t="inlineStr">
        <is>
          <t>Overdue</t>
        </is>
      </c>
    </row>
    <row r="210">
      <c r="A210" s="7" t="inlineStr">
        <is>
          <t>PO-00114</t>
        </is>
      </c>
      <c r="B210" s="9" t="n">
        <v>45788</v>
      </c>
      <c r="C210" s="7" t="inlineStr">
        <is>
          <t>Goods Receipt</t>
        </is>
      </c>
      <c r="D210" s="7" t="inlineStr">
        <is>
          <t>SUP011</t>
        </is>
      </c>
      <c r="E210" s="7" t="inlineStr">
        <is>
          <t>Vertex Marketing</t>
        </is>
      </c>
      <c r="F210" s="7" t="inlineStr">
        <is>
          <t>Marketing</t>
        </is>
      </c>
      <c r="G210" s="7" t="inlineStr">
        <is>
          <t>Digital campaign</t>
        </is>
      </c>
      <c r="H210" s="7" t="inlineStr">
        <is>
          <t>Corporate</t>
        </is>
      </c>
      <c r="I210" s="7" t="inlineStr">
        <is>
          <t>West</t>
        </is>
      </c>
      <c r="J210" s="7" t="n">
        <v>87</v>
      </c>
      <c r="K210" s="7" t="n">
        <v>186.59</v>
      </c>
      <c r="L210" s="7" t="n">
        <v>16233.62</v>
      </c>
      <c r="M210" s="7" t="inlineStr">
        <is>
          <t>Pending</t>
        </is>
      </c>
    </row>
    <row r="211">
      <c r="A211" s="7" t="inlineStr">
        <is>
          <t>PO-00247</t>
        </is>
      </c>
      <c r="B211" s="9" t="n">
        <v>45788</v>
      </c>
      <c r="C211" s="7" t="inlineStr">
        <is>
          <t>Invoice</t>
        </is>
      </c>
      <c r="D211" s="7" t="inlineStr">
        <is>
          <t>SUP001</t>
        </is>
      </c>
      <c r="E211" s="7" t="inlineStr">
        <is>
          <t>Apex Office Supplies</t>
        </is>
      </c>
      <c r="F211" s="7" t="inlineStr">
        <is>
          <t>Office Supplies</t>
        </is>
      </c>
      <c r="G211" s="7" t="inlineStr">
        <is>
          <t>Pens and stationery</t>
        </is>
      </c>
      <c r="H211" s="7" t="inlineStr">
        <is>
          <t>Corporate</t>
        </is>
      </c>
      <c r="I211" s="7" t="inlineStr">
        <is>
          <t>North</t>
        </is>
      </c>
      <c r="J211" s="7" t="n">
        <v>6</v>
      </c>
      <c r="K211" s="7" t="n">
        <v>1743.37</v>
      </c>
      <c r="L211" s="7" t="n">
        <v>10460.21</v>
      </c>
      <c r="M211" s="7" t="inlineStr">
        <is>
          <t>Paid</t>
        </is>
      </c>
    </row>
    <row r="212">
      <c r="A212" s="7" t="inlineStr">
        <is>
          <t>PO-00592</t>
        </is>
      </c>
      <c r="B212" s="9" t="n">
        <v>45788</v>
      </c>
      <c r="C212" s="7" t="inlineStr">
        <is>
          <t>Purchase Order</t>
        </is>
      </c>
      <c r="D212" s="7" t="inlineStr">
        <is>
          <t>SUP006</t>
        </is>
      </c>
      <c r="E212" s="7" t="inlineStr">
        <is>
          <t>Metro Logistics Pvt Ltd</t>
        </is>
      </c>
      <c r="F212" s="7" t="inlineStr">
        <is>
          <t>Logistics</t>
        </is>
      </c>
      <c r="G212" s="7" t="inlineStr">
        <is>
          <t>Warehouse handling</t>
        </is>
      </c>
      <c r="H212" s="7" t="inlineStr">
        <is>
          <t>Corporate</t>
        </is>
      </c>
      <c r="I212" s="7" t="inlineStr">
        <is>
          <t>East</t>
        </is>
      </c>
      <c r="J212" s="7" t="n">
        <v>51</v>
      </c>
      <c r="K212" s="7" t="n">
        <v>270.71</v>
      </c>
      <c r="L212" s="7" t="n">
        <v>13806.2</v>
      </c>
      <c r="M212" s="7" t="inlineStr">
        <is>
          <t>Overdue</t>
        </is>
      </c>
    </row>
    <row r="213">
      <c r="A213" s="7" t="inlineStr">
        <is>
          <t>PO-00434</t>
        </is>
      </c>
      <c r="B213" s="9" t="n">
        <v>45788</v>
      </c>
      <c r="C213" s="7" t="inlineStr">
        <is>
          <t>Goods Receipt</t>
        </is>
      </c>
      <c r="D213" s="7" t="inlineStr">
        <is>
          <t>SUP009</t>
        </is>
      </c>
      <c r="E213" s="7" t="inlineStr">
        <is>
          <t>Summit Consulting</t>
        </is>
      </c>
      <c r="F213" s="7" t="inlineStr">
        <is>
          <t>Professional Services</t>
        </is>
      </c>
      <c r="G213" s="7" t="inlineStr">
        <is>
          <t>Business consulting</t>
        </is>
      </c>
      <c r="H213" s="7" t="inlineStr">
        <is>
          <t>Corporate</t>
        </is>
      </c>
      <c r="I213" s="7" t="inlineStr">
        <is>
          <t>North</t>
        </is>
      </c>
      <c r="J213" s="7" t="n">
        <v>7</v>
      </c>
      <c r="K213" s="7" t="n">
        <v>2608.13</v>
      </c>
      <c r="L213" s="7" t="n">
        <v>18256.92</v>
      </c>
      <c r="M213" s="7" t="inlineStr">
        <is>
          <t>Overdue</t>
        </is>
      </c>
    </row>
    <row r="214">
      <c r="A214" s="7" t="inlineStr">
        <is>
          <t>PO-00121</t>
        </is>
      </c>
      <c r="B214" s="9" t="n">
        <v>45789</v>
      </c>
      <c r="C214" s="7" t="inlineStr">
        <is>
          <t>Invoice</t>
        </is>
      </c>
      <c r="D214" s="7" t="inlineStr">
        <is>
          <t>SUP008</t>
        </is>
      </c>
      <c r="E214" s="7" t="inlineStr">
        <is>
          <t>GreenLeaf Packaging</t>
        </is>
      </c>
      <c r="F214" s="7" t="inlineStr">
        <is>
          <t>Packaging</t>
        </is>
      </c>
      <c r="G214" s="7" t="inlineStr">
        <is>
          <t>Corrugated boxes</t>
        </is>
      </c>
      <c r="H214" s="7" t="inlineStr">
        <is>
          <t>Sales</t>
        </is>
      </c>
      <c r="I214" s="7" t="inlineStr">
        <is>
          <t>North</t>
        </is>
      </c>
      <c r="J214" s="7" t="n">
        <v>112</v>
      </c>
      <c r="K214" s="7" t="n">
        <v>48.19</v>
      </c>
      <c r="L214" s="7" t="n">
        <v>5397.13</v>
      </c>
      <c r="M214" s="7" t="inlineStr">
        <is>
          <t>Paid</t>
        </is>
      </c>
    </row>
    <row r="215">
      <c r="A215" s="7" t="inlineStr">
        <is>
          <t>PO-00239</t>
        </is>
      </c>
      <c r="B215" s="9" t="n">
        <v>45791</v>
      </c>
      <c r="C215" s="7" t="inlineStr">
        <is>
          <t>Invoice</t>
        </is>
      </c>
      <c r="D215" s="7" t="inlineStr">
        <is>
          <t>SUP007</t>
        </is>
      </c>
      <c r="E215" s="7" t="inlineStr">
        <is>
          <t>BrightClean Facilities</t>
        </is>
      </c>
      <c r="F215" s="7" t="inlineStr">
        <is>
          <t>Facilities</t>
        </is>
      </c>
      <c r="G215" s="7" t="inlineStr">
        <is>
          <t>Security services</t>
        </is>
      </c>
      <c r="H215" s="7" t="inlineStr">
        <is>
          <t>Manufacturing</t>
        </is>
      </c>
      <c r="I215" s="7" t="inlineStr">
        <is>
          <t>North</t>
        </is>
      </c>
      <c r="J215" s="7" t="n">
        <v>43</v>
      </c>
      <c r="K215" s="7" t="n">
        <v>316.21</v>
      </c>
      <c r="L215" s="7" t="n">
        <v>13597.17</v>
      </c>
      <c r="M215" s="7" t="inlineStr">
        <is>
          <t>Pending</t>
        </is>
      </c>
    </row>
    <row r="216">
      <c r="A216" s="7" t="inlineStr">
        <is>
          <t>PO-00504</t>
        </is>
      </c>
      <c r="B216" s="9" t="n">
        <v>45792</v>
      </c>
      <c r="C216" s="7" t="inlineStr">
        <is>
          <t>Invoice</t>
        </is>
      </c>
      <c r="D216" s="7" t="inlineStr">
        <is>
          <t>SUP010</t>
        </is>
      </c>
      <c r="E216" s="7" t="inlineStr">
        <is>
          <t>Urban Energy Solutions</t>
        </is>
      </c>
      <c r="F216" s="7" t="inlineStr">
        <is>
          <t>Utilities</t>
        </is>
      </c>
      <c r="G216" s="7" t="inlineStr">
        <is>
          <t>Water services</t>
        </is>
      </c>
      <c r="H216" s="7" t="inlineStr">
        <is>
          <t>Manufacturing</t>
        </is>
      </c>
      <c r="I216" s="7" t="inlineStr">
        <is>
          <t>North</t>
        </is>
      </c>
      <c r="J216" s="7" t="n">
        <v>84</v>
      </c>
      <c r="K216" s="7" t="n">
        <v>38.43</v>
      </c>
      <c r="L216" s="7" t="n">
        <v>3228.43</v>
      </c>
      <c r="M216" s="7" t="inlineStr">
        <is>
          <t>Overdue</t>
        </is>
      </c>
    </row>
    <row r="217">
      <c r="A217" s="7" t="inlineStr">
        <is>
          <t>PO-00340</t>
        </is>
      </c>
      <c r="B217" s="9" t="n">
        <v>45792</v>
      </c>
      <c r="C217" s="7" t="inlineStr">
        <is>
          <t>Goods Receipt</t>
        </is>
      </c>
      <c r="D217" s="7" t="inlineStr">
        <is>
          <t>SUP004</t>
        </is>
      </c>
      <c r="E217" s="7" t="inlineStr">
        <is>
          <t>North Star IT Svc</t>
        </is>
      </c>
      <c r="F217" s="7" t="inlineStr">
        <is>
          <t>Office Supplies</t>
        </is>
      </c>
      <c r="G217" s="7" t="inlineStr">
        <is>
          <t>Pens and stationery</t>
        </is>
      </c>
      <c r="H217" s="7" t="inlineStr">
        <is>
          <t>Manufacturing</t>
        </is>
      </c>
      <c r="I217" s="7" t="inlineStr">
        <is>
          <t>West</t>
        </is>
      </c>
      <c r="J217" s="7" t="n">
        <v>51</v>
      </c>
      <c r="K217" s="7" t="n">
        <v>334.95</v>
      </c>
      <c r="L217" s="7" t="n">
        <v>17082.4</v>
      </c>
      <c r="M217" s="7" t="inlineStr">
        <is>
          <t>Pending</t>
        </is>
      </c>
    </row>
    <row r="218">
      <c r="A218" s="7" t="inlineStr">
        <is>
          <t>PO-00534</t>
        </is>
      </c>
      <c r="B218" s="9" t="n">
        <v>45792</v>
      </c>
      <c r="C218" s="7" t="inlineStr">
        <is>
          <t>Invoice</t>
        </is>
      </c>
      <c r="D218" s="7" t="inlineStr">
        <is>
          <t>SUP004</t>
        </is>
      </c>
      <c r="E218" s="7" t="inlineStr">
        <is>
          <t>North Star IT Svc</t>
        </is>
      </c>
      <c r="F218" s="7" t="inlineStr">
        <is>
          <t>IT Services</t>
        </is>
      </c>
      <c r="G218" s="7" t="inlineStr">
        <is>
          <t>Software support</t>
        </is>
      </c>
      <c r="H218" s="7" t="inlineStr">
        <is>
          <t>Manufacturing</t>
        </is>
      </c>
      <c r="I218" s="7" t="inlineStr">
        <is>
          <t>South</t>
        </is>
      </c>
      <c r="J218" s="7" t="n">
        <v>96</v>
      </c>
      <c r="K218" s="7" t="n">
        <v>128.44</v>
      </c>
      <c r="L218" s="7" t="n">
        <v>12329.9</v>
      </c>
      <c r="M218" s="7" t="inlineStr">
        <is>
          <t>Pending</t>
        </is>
      </c>
    </row>
    <row r="219">
      <c r="A219" s="7" t="inlineStr">
        <is>
          <t>PO-00556</t>
        </is>
      </c>
      <c r="B219" s="9" t="n">
        <v>45792</v>
      </c>
      <c r="C219" s="7" t="inlineStr">
        <is>
          <t>Invoice</t>
        </is>
      </c>
      <c r="D219" s="7" t="inlineStr">
        <is>
          <t>SUP010</t>
        </is>
      </c>
      <c r="E219" s="7" t="inlineStr">
        <is>
          <t>Urban Energy Solutions</t>
        </is>
      </c>
      <c r="F219" s="7" t="inlineStr">
        <is>
          <t>Utilities</t>
        </is>
      </c>
      <c r="G219" s="7" t="inlineStr">
        <is>
          <t>Water services</t>
        </is>
      </c>
      <c r="H219" s="7" t="inlineStr">
        <is>
          <t>Operations</t>
        </is>
      </c>
      <c r="I219" s="7" t="inlineStr">
        <is>
          <t>South</t>
        </is>
      </c>
      <c r="J219" s="7" t="n">
        <v>114</v>
      </c>
      <c r="K219" s="7" t="n">
        <v>103.76</v>
      </c>
      <c r="L219" s="7" t="n">
        <v>11828.41</v>
      </c>
      <c r="M219" s="7" t="inlineStr">
        <is>
          <t>Overdue</t>
        </is>
      </c>
    </row>
    <row r="220">
      <c r="A220" s="7" t="inlineStr">
        <is>
          <t>PO-00564</t>
        </is>
      </c>
      <c r="B220" s="9" t="n">
        <v>45792</v>
      </c>
      <c r="C220" s="7" t="inlineStr">
        <is>
          <t>Goods Receipt</t>
        </is>
      </c>
      <c r="D220" s="7" t="inlineStr">
        <is>
          <t>SUP002</t>
        </is>
      </c>
      <c r="E220" s="7" t="inlineStr">
        <is>
          <t>Apex Office Supply Ltd</t>
        </is>
      </c>
      <c r="F220" s="7" t="inlineStr">
        <is>
          <t>Office Supplies</t>
        </is>
      </c>
      <c r="G220" s="7" t="inlineStr">
        <is>
          <t>Toner cartridges</t>
        </is>
      </c>
      <c r="H220" s="7" t="inlineStr">
        <is>
          <t>Technology</t>
        </is>
      </c>
      <c r="I220" s="7" t="inlineStr">
        <is>
          <t>East</t>
        </is>
      </c>
      <c r="J220" s="7" t="n">
        <v>98</v>
      </c>
      <c r="K220" s="7" t="n">
        <v>44.93</v>
      </c>
      <c r="L220" s="7" t="n">
        <v>4403.37</v>
      </c>
      <c r="M220" s="7" t="inlineStr">
        <is>
          <t>Overdue</t>
        </is>
      </c>
    </row>
    <row r="221">
      <c r="A221" s="7" t="inlineStr">
        <is>
          <t>PO-00005</t>
        </is>
      </c>
      <c r="B221" s="9" t="n">
        <v>45793</v>
      </c>
      <c r="C221" s="7" t="inlineStr">
        <is>
          <t>Invoice</t>
        </is>
      </c>
      <c r="D221" s="7" t="inlineStr">
        <is>
          <t>SUP001</t>
        </is>
      </c>
      <c r="E221" s="7" t="inlineStr">
        <is>
          <t>Apex Office Supplies</t>
        </is>
      </c>
      <c r="F221" s="7" t="inlineStr">
        <is>
          <t>Office Supplies</t>
        </is>
      </c>
      <c r="G221" s="7" t="inlineStr">
        <is>
          <t>Printer paper</t>
        </is>
      </c>
      <c r="H221" s="7" t="inlineStr">
        <is>
          <t>Manufacturing</t>
        </is>
      </c>
      <c r="I221" s="7" t="inlineStr">
        <is>
          <t>East</t>
        </is>
      </c>
      <c r="J221" s="7" t="n">
        <v>119</v>
      </c>
      <c r="K221" s="7" t="n">
        <v>81.58</v>
      </c>
      <c r="L221" s="7" t="n">
        <v>9707.76</v>
      </c>
      <c r="M221" s="7" t="inlineStr">
        <is>
          <t>Overdue</t>
        </is>
      </c>
    </row>
    <row r="222">
      <c r="A222" s="7" t="inlineStr">
        <is>
          <t>PO-00108</t>
        </is>
      </c>
      <c r="B222" s="9" t="n">
        <v>45793</v>
      </c>
      <c r="C222" s="7" t="inlineStr">
        <is>
          <t>Invoice</t>
        </is>
      </c>
      <c r="D222" s="7" t="inlineStr">
        <is>
          <t>SUP006</t>
        </is>
      </c>
      <c r="E222" s="7" t="inlineStr">
        <is>
          <t>Metro Logistics Pvt Ltd</t>
        </is>
      </c>
      <c r="F222" s="7" t="inlineStr">
        <is>
          <t>Logistics</t>
        </is>
      </c>
      <c r="G222" s="7" t="inlineStr">
        <is>
          <t>Warehouse handling</t>
        </is>
      </c>
      <c r="H222" s="7" t="inlineStr">
        <is>
          <t>Manufacturing</t>
        </is>
      </c>
      <c r="I222" s="7" t="inlineStr">
        <is>
          <t>West</t>
        </is>
      </c>
      <c r="J222" s="7" t="n">
        <v>11</v>
      </c>
      <c r="K222" s="7" t="n">
        <v>1116.9</v>
      </c>
      <c r="L222" s="7" t="n">
        <v>12285.9</v>
      </c>
      <c r="M222" s="7" t="inlineStr">
        <is>
          <t>Pending</t>
        </is>
      </c>
    </row>
    <row r="223">
      <c r="A223" s="7" t="inlineStr">
        <is>
          <t>PO-00123</t>
        </is>
      </c>
      <c r="B223" s="9" t="n">
        <v>45793</v>
      </c>
      <c r="C223" s="7" t="inlineStr">
        <is>
          <t>Goods Receipt</t>
        </is>
      </c>
      <c r="D223" s="7" t="inlineStr">
        <is>
          <t>SUP009</t>
        </is>
      </c>
      <c r="E223" s="7" t="inlineStr">
        <is>
          <t>Summit Consulting</t>
        </is>
      </c>
      <c r="F223" s="7" t="inlineStr">
        <is>
          <t>Professional Services</t>
        </is>
      </c>
      <c r="G223" s="7" t="inlineStr">
        <is>
          <t>Training services</t>
        </is>
      </c>
      <c r="H223" s="7" t="inlineStr">
        <is>
          <t>Manufacturing</t>
        </is>
      </c>
      <c r="I223" s="7" t="inlineStr">
        <is>
          <t>West</t>
        </is>
      </c>
      <c r="J223" s="7" t="n">
        <v>96</v>
      </c>
      <c r="K223" s="7" t="n">
        <v>118.83</v>
      </c>
      <c r="L223" s="7" t="n">
        <v>11407.53</v>
      </c>
      <c r="M223" s="7" t="inlineStr">
        <is>
          <t>Overdue</t>
        </is>
      </c>
    </row>
    <row r="224">
      <c r="A224" s="7" t="inlineStr">
        <is>
          <t>PO-00134</t>
        </is>
      </c>
      <c r="B224" s="9" t="n">
        <v>45793</v>
      </c>
      <c r="C224" s="7" t="inlineStr">
        <is>
          <t>Goods Receipt</t>
        </is>
      </c>
      <c r="D224" s="7" t="inlineStr">
        <is>
          <t>SUP001</t>
        </is>
      </c>
      <c r="E224" s="7" t="inlineStr">
        <is>
          <t>Apex Office Supplies</t>
        </is>
      </c>
      <c r="F224" s="7" t="inlineStr">
        <is>
          <t>Office Supplies</t>
        </is>
      </c>
      <c r="G224" s="7" t="inlineStr">
        <is>
          <t>Printer paper</t>
        </is>
      </c>
      <c r="H224" s="7" t="inlineStr">
        <is>
          <t>Sales</t>
        </is>
      </c>
      <c r="I224" s="7" t="inlineStr">
        <is>
          <t>West</t>
        </is>
      </c>
      <c r="J224" s="7" t="n">
        <v>15</v>
      </c>
      <c r="K224" s="7" t="n">
        <v>509.78</v>
      </c>
      <c r="L224" s="7" t="n">
        <v>7646.77</v>
      </c>
      <c r="M224" s="7" t="inlineStr">
        <is>
          <t>Pending</t>
        </is>
      </c>
    </row>
    <row r="225">
      <c r="A225" s="7" t="inlineStr">
        <is>
          <t>PO-00103</t>
        </is>
      </c>
      <c r="B225" s="9" t="n">
        <v>45794</v>
      </c>
      <c r="C225" s="7" t="inlineStr">
        <is>
          <t>Goods Receipt</t>
        </is>
      </c>
      <c r="D225" s="7" t="inlineStr">
        <is>
          <t>SUP001</t>
        </is>
      </c>
      <c r="E225" s="7" t="inlineStr">
        <is>
          <t>Apex Office Supplies</t>
        </is>
      </c>
      <c r="F225" s="7" t="inlineStr">
        <is>
          <t>Office Supplies</t>
        </is>
      </c>
      <c r="G225" s="7" t="inlineStr">
        <is>
          <t>Toner cartridges</t>
        </is>
      </c>
      <c r="H225" s="7" t="inlineStr">
        <is>
          <t>Sales</t>
        </is>
      </c>
      <c r="I225" s="7" t="inlineStr">
        <is>
          <t>South</t>
        </is>
      </c>
      <c r="J225" s="7" t="n">
        <v>76</v>
      </c>
      <c r="K225" s="7" t="n">
        <v>71.81999999999999</v>
      </c>
      <c r="L225" s="7" t="n">
        <v>5458.18</v>
      </c>
      <c r="M225" s="7" t="inlineStr">
        <is>
          <t>Pending</t>
        </is>
      </c>
    </row>
    <row r="226">
      <c r="A226" s="7" t="inlineStr">
        <is>
          <t>PO-00008</t>
        </is>
      </c>
      <c r="B226" s="9" t="n">
        <v>45794</v>
      </c>
      <c r="C226" s="7" t="inlineStr">
        <is>
          <t>Goods Receipt</t>
        </is>
      </c>
      <c r="D226" s="7" t="inlineStr">
        <is>
          <t>SUP012</t>
        </is>
      </c>
      <c r="E226" s="7" t="inlineStr">
        <is>
          <t>Pioneer Hardware</t>
        </is>
      </c>
      <c r="F226" s="7" t="inlineStr">
        <is>
          <t>Maintenance</t>
        </is>
      </c>
      <c r="G226" s="7" t="inlineStr">
        <is>
          <t>Repair parts</t>
        </is>
      </c>
      <c r="H226" s="7" t="inlineStr">
        <is>
          <t>Manufacturing</t>
        </is>
      </c>
      <c r="I226" s="7" t="inlineStr">
        <is>
          <t>South</t>
        </is>
      </c>
      <c r="J226" s="7" t="n">
        <v>78</v>
      </c>
      <c r="K226" s="7" t="n">
        <v>150.09</v>
      </c>
      <c r="L226" s="7" t="n">
        <v>11706.87</v>
      </c>
      <c r="M226" s="7" t="inlineStr">
        <is>
          <t>Paid</t>
        </is>
      </c>
    </row>
    <row r="227">
      <c r="A227" s="7" t="inlineStr">
        <is>
          <t>PO-00346</t>
        </is>
      </c>
      <c r="B227" s="9" t="n">
        <v>45795</v>
      </c>
      <c r="C227" s="7" t="inlineStr">
        <is>
          <t>Invoice</t>
        </is>
      </c>
      <c r="D227" s="7" t="inlineStr">
        <is>
          <t>SUP012</t>
        </is>
      </c>
      <c r="E227" s="7" t="inlineStr">
        <is>
          <t>Pioneer Hardware</t>
        </is>
      </c>
      <c r="F227" s="7" t="inlineStr">
        <is>
          <t>Maintenance</t>
        </is>
      </c>
      <c r="G227" s="7" t="inlineStr">
        <is>
          <t>Equipment servicing</t>
        </is>
      </c>
      <c r="H227" s="7" t="inlineStr">
        <is>
          <t>Technology</t>
        </is>
      </c>
      <c r="I227" s="7" t="inlineStr">
        <is>
          <t>North</t>
        </is>
      </c>
      <c r="J227" s="7" t="n">
        <v>4</v>
      </c>
      <c r="K227" s="7" t="n">
        <v>3478.29</v>
      </c>
      <c r="L227" s="7" t="n">
        <v>13913.17</v>
      </c>
      <c r="M227" s="7" t="inlineStr">
        <is>
          <t>Pending</t>
        </is>
      </c>
    </row>
    <row r="228">
      <c r="A228" s="7" t="inlineStr">
        <is>
          <t>PO-00406</t>
        </is>
      </c>
      <c r="B228" s="9" t="n">
        <v>45795</v>
      </c>
      <c r="C228" s="7" t="inlineStr">
        <is>
          <t>Invoice</t>
        </is>
      </c>
      <c r="D228" s="7" t="inlineStr">
        <is>
          <t>SUP012</t>
        </is>
      </c>
      <c r="E228" s="7" t="inlineStr">
        <is>
          <t>Pioneer Hardware</t>
        </is>
      </c>
      <c r="F228" s="7" t="inlineStr">
        <is>
          <t>Maintenance</t>
        </is>
      </c>
      <c r="G228" s="7" t="inlineStr">
        <is>
          <t>Repair parts</t>
        </is>
      </c>
      <c r="H228" s="7" t="inlineStr">
        <is>
          <t>Sales</t>
        </is>
      </c>
      <c r="I228" s="7" t="inlineStr">
        <is>
          <t>West</t>
        </is>
      </c>
      <c r="J228" s="7" t="n">
        <v>25</v>
      </c>
      <c r="K228" s="7" t="n">
        <v>466.5</v>
      </c>
      <c r="L228" s="7" t="n">
        <v>11662.52</v>
      </c>
      <c r="M228" s="7" t="inlineStr">
        <is>
          <t>Overdue</t>
        </is>
      </c>
    </row>
    <row r="229">
      <c r="A229" s="7" t="inlineStr">
        <is>
          <t>PO-00359</t>
        </is>
      </c>
      <c r="B229" s="9" t="n">
        <v>45797</v>
      </c>
      <c r="C229" s="7" t="inlineStr">
        <is>
          <t>Goods Receipt</t>
        </is>
      </c>
      <c r="D229" s="7" t="inlineStr">
        <is>
          <t>SUP004</t>
        </is>
      </c>
      <c r="E229" s="7" t="inlineStr">
        <is>
          <t>North Star IT Svc</t>
        </is>
      </c>
      <c r="F229" s="7" t="inlineStr">
        <is>
          <t>IT Services</t>
        </is>
      </c>
      <c r="G229" s="7" t="inlineStr">
        <is>
          <t>Software support</t>
        </is>
      </c>
      <c r="H229" s="7" t="inlineStr">
        <is>
          <t>Operations</t>
        </is>
      </c>
      <c r="I229" s="7" t="inlineStr">
        <is>
          <t>North</t>
        </is>
      </c>
      <c r="J229" s="7" t="n">
        <v>100</v>
      </c>
      <c r="K229" s="7" t="n">
        <v>63.66</v>
      </c>
      <c r="L229" s="7" t="n">
        <v>6365.65</v>
      </c>
      <c r="M229" s="7" t="inlineStr">
        <is>
          <t>Paid</t>
        </is>
      </c>
    </row>
    <row r="230">
      <c r="A230" s="7" t="inlineStr">
        <is>
          <t>PO-00427</t>
        </is>
      </c>
      <c r="B230" s="9" t="n">
        <v>45798</v>
      </c>
      <c r="C230" s="7" t="inlineStr">
        <is>
          <t>Purchase Order</t>
        </is>
      </c>
      <c r="D230" s="7" t="inlineStr">
        <is>
          <t>SUP004</t>
        </is>
      </c>
      <c r="E230" s="7" t="inlineStr">
        <is>
          <t>North Star IT Svc</t>
        </is>
      </c>
      <c r="F230" s="7" t="inlineStr">
        <is>
          <t>IT Services</t>
        </is>
      </c>
      <c r="G230" s="7" t="inlineStr">
        <is>
          <t>Cloud services</t>
        </is>
      </c>
      <c r="H230" s="7" t="inlineStr">
        <is>
          <t>Corporate</t>
        </is>
      </c>
      <c r="I230" s="7" t="inlineStr">
        <is>
          <t>South</t>
        </is>
      </c>
      <c r="J230" s="7" t="n">
        <v>98</v>
      </c>
      <c r="K230" s="7" t="n">
        <v>54.38</v>
      </c>
      <c r="L230" s="7" t="n">
        <v>5328.94</v>
      </c>
      <c r="M230" s="7" t="inlineStr">
        <is>
          <t>Overdue</t>
        </is>
      </c>
    </row>
    <row r="231">
      <c r="A231" s="7" t="inlineStr">
        <is>
          <t>PO-00336</t>
        </is>
      </c>
      <c r="B231" s="9" t="n">
        <v>45799</v>
      </c>
      <c r="C231" s="7" t="inlineStr">
        <is>
          <t>Goods Receipt</t>
        </is>
      </c>
      <c r="D231" s="7" t="inlineStr">
        <is>
          <t>SUP011</t>
        </is>
      </c>
      <c r="E231" s="7" t="inlineStr">
        <is>
          <t>Vertex Marketing</t>
        </is>
      </c>
      <c r="F231" s="7" t="inlineStr">
        <is>
          <t>Marketing</t>
        </is>
      </c>
      <c r="G231" s="7" t="inlineStr">
        <is>
          <t>Promotional materials</t>
        </is>
      </c>
      <c r="H231" s="7" t="inlineStr">
        <is>
          <t>Technology</t>
        </is>
      </c>
      <c r="I231" s="7" t="inlineStr">
        <is>
          <t>North</t>
        </is>
      </c>
      <c r="J231" s="7" t="n">
        <v>77</v>
      </c>
      <c r="K231" s="7" t="n">
        <v>130.06</v>
      </c>
      <c r="L231" s="7" t="n">
        <v>10014.73</v>
      </c>
      <c r="M231" s="7" t="inlineStr">
        <is>
          <t>Overdue</t>
        </is>
      </c>
    </row>
    <row r="232">
      <c r="A232" s="7" t="inlineStr">
        <is>
          <t>PO-00130</t>
        </is>
      </c>
      <c r="B232" s="9" t="n">
        <v>45799</v>
      </c>
      <c r="C232" s="7" t="inlineStr">
        <is>
          <t>Invoice</t>
        </is>
      </c>
      <c r="D232" s="7" t="inlineStr">
        <is>
          <t>SUP004</t>
        </is>
      </c>
      <c r="E232" s="7" t="inlineStr">
        <is>
          <t>North Star IT Svc</t>
        </is>
      </c>
      <c r="F232" s="7" t="inlineStr">
        <is>
          <t>IT Services</t>
        </is>
      </c>
      <c r="G232" s="7" t="inlineStr">
        <is>
          <t>Software support</t>
        </is>
      </c>
      <c r="H232" s="7" t="inlineStr">
        <is>
          <t>Operations</t>
        </is>
      </c>
      <c r="I232" s="7" t="inlineStr">
        <is>
          <t>North</t>
        </is>
      </c>
      <c r="J232" s="7" t="n">
        <v>106</v>
      </c>
      <c r="K232" s="7" t="n">
        <v>274.06</v>
      </c>
      <c r="L232" s="7" t="n">
        <v>29050.13</v>
      </c>
      <c r="M232" s="7" t="inlineStr">
        <is>
          <t>Paid</t>
        </is>
      </c>
    </row>
    <row r="233">
      <c r="A233" s="7" t="inlineStr">
        <is>
          <t>PO-00405</t>
        </is>
      </c>
      <c r="B233" s="9" t="n">
        <v>45801</v>
      </c>
      <c r="C233" s="7" t="inlineStr">
        <is>
          <t>Purchase Order</t>
        </is>
      </c>
      <c r="D233" s="7" t="inlineStr">
        <is>
          <t>SUP008</t>
        </is>
      </c>
      <c r="E233" s="7" t="inlineStr">
        <is>
          <t>GreenLeaf Packaging</t>
        </is>
      </c>
      <c r="F233" s="7" t="inlineStr">
        <is>
          <t>Packaging</t>
        </is>
      </c>
      <c r="G233" s="7" t="inlineStr">
        <is>
          <t>Corrugated boxes</t>
        </is>
      </c>
      <c r="H233" s="7" t="inlineStr">
        <is>
          <t>Technology</t>
        </is>
      </c>
      <c r="I233" s="7" t="inlineStr">
        <is>
          <t>West</t>
        </is>
      </c>
      <c r="J233" s="7" t="n">
        <v>112</v>
      </c>
      <c r="K233" s="7" t="n">
        <v>110.4</v>
      </c>
      <c r="L233" s="7" t="n">
        <v>12365.15</v>
      </c>
      <c r="M233" s="7" t="inlineStr">
        <is>
          <t>Pending</t>
        </is>
      </c>
    </row>
    <row r="234">
      <c r="A234" s="7" t="inlineStr">
        <is>
          <t>PO-00539</t>
        </is>
      </c>
      <c r="B234" s="9" t="n">
        <v>45801</v>
      </c>
      <c r="C234" s="7" t="inlineStr">
        <is>
          <t>Goods Receipt</t>
        </is>
      </c>
      <c r="D234" s="7" t="inlineStr">
        <is>
          <t>SUP007</t>
        </is>
      </c>
      <c r="E234" s="7" t="inlineStr">
        <is>
          <t>BrightClean Facilities</t>
        </is>
      </c>
      <c r="F234" s="7" t="inlineStr">
        <is>
          <t>Facilities</t>
        </is>
      </c>
      <c r="G234" s="7" t="inlineStr">
        <is>
          <t>Facility maintenance</t>
        </is>
      </c>
      <c r="H234" s="7" t="inlineStr">
        <is>
          <t>Sales</t>
        </is>
      </c>
      <c r="I234" s="7" t="inlineStr">
        <is>
          <t>North</t>
        </is>
      </c>
      <c r="J234" s="7" t="n">
        <v>7</v>
      </c>
      <c r="K234" s="7" t="n">
        <v>1490.11</v>
      </c>
      <c r="L234" s="7" t="n">
        <v>10430.77</v>
      </c>
      <c r="M234" s="7" t="inlineStr">
        <is>
          <t>Overdue</t>
        </is>
      </c>
    </row>
    <row r="235">
      <c r="A235" s="7" t="inlineStr">
        <is>
          <t>PO-00390</t>
        </is>
      </c>
      <c r="B235" s="9" t="n">
        <v>45802</v>
      </c>
      <c r="C235" s="7" t="inlineStr">
        <is>
          <t>Goods Receipt</t>
        </is>
      </c>
      <c r="D235" s="7" t="inlineStr">
        <is>
          <t>SUP005</t>
        </is>
      </c>
      <c r="E235" s="7" t="inlineStr">
        <is>
          <t>Metro Logistics</t>
        </is>
      </c>
      <c r="F235" s="7" t="inlineStr">
        <is>
          <t>Logistics</t>
        </is>
      </c>
      <c r="G235" s="7" t="inlineStr">
        <is>
          <t>Courier services</t>
        </is>
      </c>
      <c r="H235" s="7" t="inlineStr">
        <is>
          <t>Operations</t>
        </is>
      </c>
      <c r="I235" s="7" t="inlineStr">
        <is>
          <t>North</t>
        </is>
      </c>
      <c r="J235" s="7" t="n">
        <v>74</v>
      </c>
      <c r="K235" s="7" t="n">
        <v>23.14</v>
      </c>
      <c r="L235" s="7" t="n">
        <v>1712.72</v>
      </c>
      <c r="M235" s="7" t="inlineStr">
        <is>
          <t>Pending</t>
        </is>
      </c>
    </row>
    <row r="236">
      <c r="A236" s="7" t="inlineStr">
        <is>
          <t>PO-00582</t>
        </is>
      </c>
      <c r="B236" s="9" t="n">
        <v>45802</v>
      </c>
      <c r="C236" s="7" t="inlineStr">
        <is>
          <t>Goods Receipt</t>
        </is>
      </c>
      <c r="D236" s="7" t="inlineStr">
        <is>
          <t>SUP006</t>
        </is>
      </c>
      <c r="E236" s="7" t="inlineStr">
        <is>
          <t>Metro Logistics Pvt Ltd</t>
        </is>
      </c>
      <c r="F236" s="7" t="inlineStr">
        <is>
          <t>Logistics</t>
        </is>
      </c>
      <c r="G236" s="7" t="inlineStr">
        <is>
          <t>Warehouse handling</t>
        </is>
      </c>
      <c r="H236" s="7" t="inlineStr">
        <is>
          <t>Corporate</t>
        </is>
      </c>
      <c r="I236" s="7" t="inlineStr">
        <is>
          <t>North</t>
        </is>
      </c>
      <c r="J236" s="7" t="n">
        <v>13</v>
      </c>
      <c r="K236" s="7" t="n">
        <v>768.63</v>
      </c>
      <c r="L236" s="7" t="n">
        <v>9992.24</v>
      </c>
      <c r="M236" s="7" t="inlineStr">
        <is>
          <t>Paid</t>
        </is>
      </c>
    </row>
    <row r="237">
      <c r="A237" s="7" t="inlineStr">
        <is>
          <t>PO-00173</t>
        </is>
      </c>
      <c r="B237" s="9" t="n">
        <v>45802</v>
      </c>
      <c r="C237" s="7" t="inlineStr">
        <is>
          <t>Purchase Order</t>
        </is>
      </c>
      <c r="D237" s="7" t="inlineStr">
        <is>
          <t>SUP007</t>
        </is>
      </c>
      <c r="E237" s="7" t="inlineStr">
        <is>
          <t>BrightClean Facilities</t>
        </is>
      </c>
      <c r="F237" s="7" t="inlineStr">
        <is>
          <t>Facilities</t>
        </is>
      </c>
      <c r="G237" s="7" t="inlineStr">
        <is>
          <t>Security services</t>
        </is>
      </c>
      <c r="H237" s="7" t="inlineStr">
        <is>
          <t>Operations</t>
        </is>
      </c>
      <c r="I237" s="7" t="inlineStr">
        <is>
          <t>East</t>
        </is>
      </c>
      <c r="J237" s="7" t="n">
        <v>21</v>
      </c>
      <c r="K237" s="7" t="n">
        <v>362.17</v>
      </c>
      <c r="L237" s="7" t="n">
        <v>7605.66</v>
      </c>
      <c r="M237" s="7" t="inlineStr">
        <is>
          <t>Paid</t>
        </is>
      </c>
    </row>
    <row r="238">
      <c r="A238" s="7" t="inlineStr">
        <is>
          <t>PO-00557</t>
        </is>
      </c>
      <c r="B238" s="9" t="n">
        <v>45803</v>
      </c>
      <c r="C238" s="7" t="inlineStr">
        <is>
          <t>Purchase Order</t>
        </is>
      </c>
      <c r="D238" s="7" t="inlineStr">
        <is>
          <t>SUP008</t>
        </is>
      </c>
      <c r="E238" s="7" t="inlineStr">
        <is>
          <t>GreenLeaf Packaging</t>
        </is>
      </c>
      <c r="F238" s="7" t="inlineStr">
        <is>
          <t>Packaging</t>
        </is>
      </c>
      <c r="G238" s="7" t="inlineStr">
        <is>
          <t>Corrugated boxes</t>
        </is>
      </c>
      <c r="H238" s="7" t="inlineStr">
        <is>
          <t>Corporate</t>
        </is>
      </c>
      <c r="I238" s="7" t="inlineStr">
        <is>
          <t>East</t>
        </is>
      </c>
      <c r="J238" s="7" t="n">
        <v>108</v>
      </c>
      <c r="K238" s="7" t="n">
        <v>22.84</v>
      </c>
      <c r="L238" s="7" t="n">
        <v>2467.23</v>
      </c>
      <c r="M238" s="7" t="inlineStr">
        <is>
          <t>Pending</t>
        </is>
      </c>
    </row>
    <row r="239">
      <c r="A239" s="7" t="inlineStr">
        <is>
          <t>PO-00233</t>
        </is>
      </c>
      <c r="B239" s="9" t="n">
        <v>45804</v>
      </c>
      <c r="C239" s="7" t="inlineStr">
        <is>
          <t>Goods Receipt</t>
        </is>
      </c>
      <c r="D239" s="7" t="inlineStr">
        <is>
          <t>SUP011</t>
        </is>
      </c>
      <c r="E239" s="7" t="inlineStr">
        <is>
          <t>Vertex Marketing</t>
        </is>
      </c>
      <c r="F239" s="7" t="inlineStr">
        <is>
          <t>IT Services</t>
        </is>
      </c>
      <c r="G239" s="7" t="inlineStr">
        <is>
          <t>IT consulting</t>
        </is>
      </c>
      <c r="H239" s="7" t="inlineStr">
        <is>
          <t>Corporate</t>
        </is>
      </c>
      <c r="I239" s="7" t="inlineStr">
        <is>
          <t>South</t>
        </is>
      </c>
      <c r="J239" s="7" t="n">
        <v>30</v>
      </c>
      <c r="K239" s="7" t="n">
        <v>667.71</v>
      </c>
      <c r="L239" s="7" t="n">
        <v>20031.27</v>
      </c>
      <c r="M239" s="7" t="inlineStr">
        <is>
          <t>Pending</t>
        </is>
      </c>
    </row>
    <row r="240">
      <c r="A240" s="7" t="inlineStr">
        <is>
          <t>PO-00467</t>
        </is>
      </c>
      <c r="B240" s="9" t="n">
        <v>45804</v>
      </c>
      <c r="C240" s="7" t="inlineStr">
        <is>
          <t>Invoice</t>
        </is>
      </c>
      <c r="D240" s="7" t="inlineStr">
        <is>
          <t>SUP011</t>
        </is>
      </c>
      <c r="E240" s="7" t="inlineStr">
        <is>
          <t>Vertex Marketing</t>
        </is>
      </c>
      <c r="F240" s="7" t="inlineStr">
        <is>
          <t>Marketing</t>
        </is>
      </c>
      <c r="G240" s="7" t="inlineStr">
        <is>
          <t>Digital campaign</t>
        </is>
      </c>
      <c r="H240" s="7" t="inlineStr">
        <is>
          <t>Manufacturing</t>
        </is>
      </c>
      <c r="I240" s="7" t="inlineStr">
        <is>
          <t>North</t>
        </is>
      </c>
      <c r="J240" s="7" t="n">
        <v>89</v>
      </c>
      <c r="K240" s="7" t="n">
        <v>169.98</v>
      </c>
      <c r="L240" s="7" t="n">
        <v>15128.15</v>
      </c>
      <c r="M240" s="7" t="inlineStr">
        <is>
          <t>Pending</t>
        </is>
      </c>
    </row>
    <row r="241">
      <c r="A241" s="7" t="inlineStr">
        <is>
          <t>PO-00179</t>
        </is>
      </c>
      <c r="B241" s="9" t="n">
        <v>45805</v>
      </c>
      <c r="C241" s="7" t="inlineStr">
        <is>
          <t>Goods Receipt</t>
        </is>
      </c>
      <c r="D241" s="7" t="inlineStr">
        <is>
          <t>SUP004</t>
        </is>
      </c>
      <c r="E241" s="7" t="inlineStr">
        <is>
          <t>North Star IT Svc</t>
        </is>
      </c>
      <c r="F241" s="7" t="inlineStr">
        <is>
          <t>IT Services</t>
        </is>
      </c>
      <c r="G241" s="7" t="inlineStr">
        <is>
          <t>IT consulting</t>
        </is>
      </c>
      <c r="H241" s="7" t="inlineStr">
        <is>
          <t>Sales</t>
        </is>
      </c>
      <c r="I241" s="7" t="inlineStr">
        <is>
          <t>North</t>
        </is>
      </c>
      <c r="J241" s="7" t="n">
        <v>54</v>
      </c>
      <c r="K241" s="7" t="n">
        <v>30.66</v>
      </c>
      <c r="L241" s="7" t="n">
        <v>1655.39</v>
      </c>
      <c r="M241" s="7" t="inlineStr">
        <is>
          <t>Paid</t>
        </is>
      </c>
    </row>
    <row r="242">
      <c r="A242" s="7" t="inlineStr">
        <is>
          <t>PO-00082</t>
        </is>
      </c>
      <c r="B242" s="9" t="n">
        <v>45807</v>
      </c>
      <c r="C242" s="7" t="inlineStr">
        <is>
          <t>Invoice</t>
        </is>
      </c>
      <c r="D242" s="7" t="inlineStr">
        <is>
          <t>SUP012</t>
        </is>
      </c>
      <c r="E242" s="7" t="inlineStr">
        <is>
          <t>Pioneer Hardware</t>
        </is>
      </c>
      <c r="F242" s="7" t="inlineStr">
        <is>
          <t>Maintenance</t>
        </is>
      </c>
      <c r="G242" s="7" t="inlineStr">
        <is>
          <t>Repair parts</t>
        </is>
      </c>
      <c r="H242" s="7" t="inlineStr">
        <is>
          <t>Corporate</t>
        </is>
      </c>
      <c r="I242" s="7" t="inlineStr">
        <is>
          <t>East</t>
        </is>
      </c>
      <c r="J242" s="7" t="n">
        <v>97</v>
      </c>
      <c r="K242" s="7" t="n">
        <v>118.82</v>
      </c>
      <c r="L242" s="7" t="n">
        <v>11525.11</v>
      </c>
      <c r="M242" s="7" t="inlineStr">
        <is>
          <t>Pending</t>
        </is>
      </c>
    </row>
    <row r="243">
      <c r="A243" s="7" t="inlineStr">
        <is>
          <t>PO-00101</t>
        </is>
      </c>
      <c r="B243" s="9" t="n">
        <v>45807</v>
      </c>
      <c r="C243" s="7" t="inlineStr">
        <is>
          <t>Invoice</t>
        </is>
      </c>
      <c r="D243" s="7" t="inlineStr">
        <is>
          <t>SUP009</t>
        </is>
      </c>
      <c r="E243" s="7" t="inlineStr">
        <is>
          <t>Summit Consulting</t>
        </is>
      </c>
      <c r="F243" s="7" t="inlineStr">
        <is>
          <t>Professional Services</t>
        </is>
      </c>
      <c r="G243" s="7" t="inlineStr">
        <is>
          <t>Business consulting</t>
        </is>
      </c>
      <c r="H243" s="7" t="inlineStr">
        <is>
          <t>Sales</t>
        </is>
      </c>
      <c r="I243" s="7" t="inlineStr">
        <is>
          <t>South</t>
        </is>
      </c>
      <c r="J243" s="7" t="n">
        <v>62</v>
      </c>
      <c r="K243" s="7" t="n">
        <v>206.99</v>
      </c>
      <c r="L243" s="7" t="n">
        <v>12833.24</v>
      </c>
      <c r="M243" s="7" t="inlineStr">
        <is>
          <t>Pending</t>
        </is>
      </c>
    </row>
    <row r="244">
      <c r="A244" s="7" t="inlineStr">
        <is>
          <t>PO-00476</t>
        </is>
      </c>
      <c r="B244" s="9" t="n">
        <v>45808</v>
      </c>
      <c r="C244" s="7" t="inlineStr">
        <is>
          <t>Goods Receipt</t>
        </is>
      </c>
      <c r="D244" s="7" t="inlineStr">
        <is>
          <t>SUP004</t>
        </is>
      </c>
      <c r="E244" s="7" t="inlineStr">
        <is>
          <t>North Star IT Svc</t>
        </is>
      </c>
      <c r="F244" s="7" t="inlineStr">
        <is>
          <t>IT Services</t>
        </is>
      </c>
      <c r="G244" s="7" t="inlineStr">
        <is>
          <t>IT consulting</t>
        </is>
      </c>
      <c r="H244" s="7" t="inlineStr">
        <is>
          <t>Corporate</t>
        </is>
      </c>
      <c r="I244" s="7" t="inlineStr">
        <is>
          <t>North</t>
        </is>
      </c>
      <c r="J244" s="7" t="n">
        <v>61</v>
      </c>
      <c r="K244" s="7" t="n">
        <v>311.43</v>
      </c>
      <c r="L244" s="7" t="n">
        <v>18997.26</v>
      </c>
      <c r="M244" s="7" t="inlineStr">
        <is>
          <t>Overdue</t>
        </is>
      </c>
    </row>
    <row r="245">
      <c r="A245" s="7" t="inlineStr">
        <is>
          <t>PO-00578</t>
        </is>
      </c>
      <c r="B245" s="9" t="n">
        <v>45808</v>
      </c>
      <c r="C245" s="7" t="inlineStr">
        <is>
          <t>Goods Receipt</t>
        </is>
      </c>
      <c r="D245" s="7" t="inlineStr">
        <is>
          <t>SUP009</t>
        </is>
      </c>
      <c r="E245" s="7" t="inlineStr">
        <is>
          <t>Summit Consulting</t>
        </is>
      </c>
      <c r="F245" s="7" t="inlineStr">
        <is>
          <t>Professional Services</t>
        </is>
      </c>
      <c r="G245" s="7" t="inlineStr">
        <is>
          <t>Training services</t>
        </is>
      </c>
      <c r="H245" s="7" t="inlineStr">
        <is>
          <t>Technology</t>
        </is>
      </c>
      <c r="I245" s="7" t="inlineStr">
        <is>
          <t>West</t>
        </is>
      </c>
      <c r="J245" s="7" t="n">
        <v>24</v>
      </c>
      <c r="K245" s="7" t="n">
        <v>248.85</v>
      </c>
      <c r="L245" s="7" t="n">
        <v>5972.43</v>
      </c>
      <c r="M245" s="7" t="inlineStr">
        <is>
          <t>Pending</t>
        </is>
      </c>
    </row>
    <row r="246">
      <c r="A246" s="7" t="inlineStr">
        <is>
          <t>PO-00283</t>
        </is>
      </c>
      <c r="B246" s="9" t="n">
        <v>45809</v>
      </c>
      <c r="C246" s="7" t="inlineStr">
        <is>
          <t>Invoice</t>
        </is>
      </c>
      <c r="D246" s="7" t="inlineStr">
        <is>
          <t>SUP004</t>
        </is>
      </c>
      <c r="E246" s="7" t="inlineStr">
        <is>
          <t>North Star IT Svc</t>
        </is>
      </c>
      <c r="F246" s="7" t="inlineStr">
        <is>
          <t>IT Services</t>
        </is>
      </c>
      <c r="G246" s="7" t="inlineStr">
        <is>
          <t>IT consulting</t>
        </is>
      </c>
      <c r="H246" s="7" t="inlineStr">
        <is>
          <t>Operations</t>
        </is>
      </c>
      <c r="I246" s="7" t="inlineStr">
        <is>
          <t>West</t>
        </is>
      </c>
      <c r="J246" s="7" t="n">
        <v>20</v>
      </c>
      <c r="K246" s="7" t="n">
        <v>134.88</v>
      </c>
      <c r="L246" s="7" t="n">
        <v>2697.63</v>
      </c>
      <c r="M246" s="7" t="inlineStr">
        <is>
          <t>Pending</t>
        </is>
      </c>
    </row>
    <row r="247">
      <c r="A247" s="7" t="inlineStr">
        <is>
          <t>PO-00369</t>
        </is>
      </c>
      <c r="B247" s="9" t="n">
        <v>45809</v>
      </c>
      <c r="C247" s="7" t="inlineStr">
        <is>
          <t>Purchase Order</t>
        </is>
      </c>
      <c r="D247" s="7" t="inlineStr">
        <is>
          <t>SUP008</t>
        </is>
      </c>
      <c r="E247" s="7" t="inlineStr">
        <is>
          <t>GreenLeaf Packaging</t>
        </is>
      </c>
      <c r="F247" s="7" t="inlineStr">
        <is>
          <t>Packaging</t>
        </is>
      </c>
      <c r="G247" s="7" t="inlineStr">
        <is>
          <t>Protective packaging</t>
        </is>
      </c>
      <c r="H247" s="7" t="inlineStr">
        <is>
          <t>Sales</t>
        </is>
      </c>
      <c r="I247" s="7" t="inlineStr">
        <is>
          <t>South</t>
        </is>
      </c>
      <c r="J247" s="7" t="n">
        <v>8</v>
      </c>
      <c r="K247" s="7" t="n">
        <v>1245.79</v>
      </c>
      <c r="L247" s="7" t="n">
        <v>9966.309999999999</v>
      </c>
      <c r="M247" s="7" t="inlineStr">
        <is>
          <t>Pending</t>
        </is>
      </c>
    </row>
    <row r="248">
      <c r="A248" s="7" t="inlineStr">
        <is>
          <t>PO-00190</t>
        </is>
      </c>
      <c r="B248" s="9" t="n">
        <v>45809</v>
      </c>
      <c r="C248" s="7" t="inlineStr">
        <is>
          <t>Goods Receipt</t>
        </is>
      </c>
      <c r="D248" s="7" t="inlineStr">
        <is>
          <t>SUP005</t>
        </is>
      </c>
      <c r="E248" s="7" t="inlineStr">
        <is>
          <t>Metro Logistics</t>
        </is>
      </c>
      <c r="F248" s="7" t="inlineStr">
        <is>
          <t>Logistics</t>
        </is>
      </c>
      <c r="G248" s="7" t="inlineStr">
        <is>
          <t>Courier services</t>
        </is>
      </c>
      <c r="H248" s="7" t="inlineStr">
        <is>
          <t>Technology</t>
        </is>
      </c>
      <c r="I248" s="7" t="inlineStr">
        <is>
          <t>West</t>
        </is>
      </c>
      <c r="J248" s="7" t="n">
        <v>22</v>
      </c>
      <c r="K248" s="7" t="n">
        <v>1000.82</v>
      </c>
      <c r="L248" s="7" t="n">
        <v>22018.08</v>
      </c>
      <c r="M248" s="7" t="inlineStr">
        <is>
          <t>Paid</t>
        </is>
      </c>
    </row>
    <row r="249">
      <c r="A249" s="7" t="inlineStr">
        <is>
          <t>PO-00431</t>
        </is>
      </c>
      <c r="B249" s="9" t="n">
        <v>45810</v>
      </c>
      <c r="C249" s="7" t="inlineStr">
        <is>
          <t>Invoice</t>
        </is>
      </c>
      <c r="D249" s="7" t="inlineStr">
        <is>
          <t>SUP005</t>
        </is>
      </c>
      <c r="E249" s="7" t="inlineStr">
        <is>
          <t>Metro Logistics</t>
        </is>
      </c>
      <c r="F249" s="7" t="inlineStr">
        <is>
          <t>Logistics</t>
        </is>
      </c>
      <c r="G249" s="7" t="inlineStr">
        <is>
          <t>Courier services</t>
        </is>
      </c>
      <c r="H249" s="7" t="inlineStr">
        <is>
          <t>Operations</t>
        </is>
      </c>
      <c r="I249" s="7" t="inlineStr">
        <is>
          <t>East</t>
        </is>
      </c>
      <c r="J249" s="7" t="n">
        <v>68</v>
      </c>
      <c r="K249" s="7" t="n">
        <v>235.57</v>
      </c>
      <c r="L249" s="7" t="n">
        <v>16018.69</v>
      </c>
      <c r="M249" s="7" t="inlineStr">
        <is>
          <t>Pending</t>
        </is>
      </c>
    </row>
    <row r="250">
      <c r="A250" s="7" t="inlineStr">
        <is>
          <t>PO-00235</t>
        </is>
      </c>
      <c r="B250" s="9" t="n">
        <v>45810</v>
      </c>
      <c r="C250" s="7" t="inlineStr">
        <is>
          <t>Invoice</t>
        </is>
      </c>
      <c r="D250" s="7" t="inlineStr">
        <is>
          <t>SUP010</t>
        </is>
      </c>
      <c r="E250" s="7" t="inlineStr">
        <is>
          <t>Urban Energy Solutions</t>
        </is>
      </c>
      <c r="F250" s="7" t="inlineStr">
        <is>
          <t>Utilities</t>
        </is>
      </c>
      <c r="G250" s="7" t="inlineStr">
        <is>
          <t>Water services</t>
        </is>
      </c>
      <c r="H250" s="7" t="inlineStr">
        <is>
          <t>Manufacturing</t>
        </is>
      </c>
      <c r="I250" s="7" t="inlineStr">
        <is>
          <t>West</t>
        </is>
      </c>
      <c r="J250" s="7" t="n">
        <v>43</v>
      </c>
      <c r="K250" s="7" t="n">
        <v>388.86</v>
      </c>
      <c r="L250" s="7" t="n">
        <v>16720.77</v>
      </c>
      <c r="M250" s="7" t="inlineStr">
        <is>
          <t>Paid</t>
        </is>
      </c>
    </row>
    <row r="251">
      <c r="A251" s="7" t="inlineStr">
        <is>
          <t>PO-00227</t>
        </is>
      </c>
      <c r="B251" s="9" t="n">
        <v>45810</v>
      </c>
      <c r="C251" s="7" t="inlineStr">
        <is>
          <t>Invoice</t>
        </is>
      </c>
      <c r="D251" s="7" t="inlineStr">
        <is>
          <t>SUP005</t>
        </is>
      </c>
      <c r="E251" s="7" t="inlineStr">
        <is>
          <t>Metro Logistics</t>
        </is>
      </c>
      <c r="F251" s="7" t="inlineStr">
        <is>
          <t>Logistics</t>
        </is>
      </c>
      <c r="G251" s="7" t="inlineStr">
        <is>
          <t>Courier services</t>
        </is>
      </c>
      <c r="H251" s="7" t="inlineStr">
        <is>
          <t>Technology</t>
        </is>
      </c>
      <c r="I251" s="7" t="inlineStr">
        <is>
          <t>East</t>
        </is>
      </c>
      <c r="J251" s="7" t="n">
        <v>63</v>
      </c>
      <c r="K251" s="7" t="n">
        <v>336.26</v>
      </c>
      <c r="L251" s="7" t="n">
        <v>21184.53</v>
      </c>
      <c r="M251" s="7" t="inlineStr">
        <is>
          <t>Pending</t>
        </is>
      </c>
    </row>
    <row r="252">
      <c r="A252" s="7" t="inlineStr">
        <is>
          <t>PO-00303</t>
        </is>
      </c>
      <c r="B252" s="9" t="n">
        <v>45811</v>
      </c>
      <c r="C252" s="7" t="inlineStr">
        <is>
          <t>Invoice</t>
        </is>
      </c>
      <c r="D252" s="7" t="inlineStr">
        <is>
          <t>SUP001</t>
        </is>
      </c>
      <c r="E252" s="7" t="inlineStr">
        <is>
          <t>Apex Office Supplies</t>
        </is>
      </c>
      <c r="F252" s="7" t="inlineStr">
        <is>
          <t>Office Supplies</t>
        </is>
      </c>
      <c r="G252" s="7" t="inlineStr">
        <is>
          <t>Toner cartridges</t>
        </is>
      </c>
      <c r="H252" s="7" t="inlineStr">
        <is>
          <t>Corporate</t>
        </is>
      </c>
      <c r="I252" s="7" t="inlineStr">
        <is>
          <t>South</t>
        </is>
      </c>
      <c r="J252" s="7" t="n">
        <v>109</v>
      </c>
      <c r="K252" s="7" t="n">
        <v>19.98</v>
      </c>
      <c r="L252" s="7" t="n">
        <v>2177.72</v>
      </c>
      <c r="M252" s="7" t="inlineStr">
        <is>
          <t>Overdue</t>
        </is>
      </c>
    </row>
    <row r="253">
      <c r="A253" s="7" t="inlineStr">
        <is>
          <t>PO-00337</t>
        </is>
      </c>
      <c r="B253" s="9" t="n">
        <v>45812</v>
      </c>
      <c r="C253" s="7" t="inlineStr">
        <is>
          <t>Invoice</t>
        </is>
      </c>
      <c r="D253" s="7" t="inlineStr">
        <is>
          <t>SUP004</t>
        </is>
      </c>
      <c r="E253" s="7" t="inlineStr">
        <is>
          <t>North Star IT Svc</t>
        </is>
      </c>
      <c r="F253" s="7" t="inlineStr">
        <is>
          <t>IT Services</t>
        </is>
      </c>
      <c r="G253" s="7" t="inlineStr">
        <is>
          <t>Cloud services</t>
        </is>
      </c>
      <c r="H253" s="7" t="inlineStr">
        <is>
          <t>Corporate</t>
        </is>
      </c>
      <c r="I253" s="7" t="inlineStr">
        <is>
          <t>South</t>
        </is>
      </c>
      <c r="J253" s="7" t="n">
        <v>96</v>
      </c>
      <c r="K253" s="7" t="n">
        <v>163.45</v>
      </c>
      <c r="L253" s="7" t="n">
        <v>15691.45</v>
      </c>
      <c r="M253" s="7" t="inlineStr">
        <is>
          <t>Pending</t>
        </is>
      </c>
    </row>
    <row r="254">
      <c r="A254" s="7" t="inlineStr">
        <is>
          <t>PO-00415</t>
        </is>
      </c>
      <c r="B254" s="9" t="n">
        <v>45812</v>
      </c>
      <c r="C254" s="7" t="inlineStr">
        <is>
          <t>Purchase Order</t>
        </is>
      </c>
      <c r="D254" s="7" t="inlineStr">
        <is>
          <t>SUP011</t>
        </is>
      </c>
      <c r="E254" s="7" t="inlineStr">
        <is>
          <t>Vertex Marketing</t>
        </is>
      </c>
      <c r="F254" s="7" t="inlineStr">
        <is>
          <t>Marketing</t>
        </is>
      </c>
      <c r="G254" s="7" t="inlineStr">
        <is>
          <t>Digital campaign</t>
        </is>
      </c>
      <c r="H254" s="7" t="inlineStr">
        <is>
          <t>Manufacturing</t>
        </is>
      </c>
      <c r="I254" s="7" t="inlineStr">
        <is>
          <t>East</t>
        </is>
      </c>
      <c r="J254" s="7" t="n">
        <v>75</v>
      </c>
      <c r="K254" s="7" t="n">
        <v>150.27</v>
      </c>
      <c r="L254" s="7" t="n">
        <v>11270.08</v>
      </c>
      <c r="M254" s="7" t="inlineStr">
        <is>
          <t>Overdue</t>
        </is>
      </c>
    </row>
    <row r="255">
      <c r="A255" s="7" t="inlineStr">
        <is>
          <t>PO-00295</t>
        </is>
      </c>
      <c r="B255" s="9" t="n">
        <v>45813</v>
      </c>
      <c r="C255" s="7" t="inlineStr">
        <is>
          <t>Invoice</t>
        </is>
      </c>
      <c r="D255" s="7" t="inlineStr">
        <is>
          <t>SUP004</t>
        </is>
      </c>
      <c r="E255" s="7" t="inlineStr">
        <is>
          <t>North Star IT Svc</t>
        </is>
      </c>
      <c r="F255" s="7" t="inlineStr">
        <is>
          <t>IT Services</t>
        </is>
      </c>
      <c r="G255" s="7" t="inlineStr">
        <is>
          <t>Software support</t>
        </is>
      </c>
      <c r="H255" s="7" t="inlineStr">
        <is>
          <t>Sales</t>
        </is>
      </c>
      <c r="I255" s="7" t="inlineStr">
        <is>
          <t>West</t>
        </is>
      </c>
      <c r="J255" s="7" t="n">
        <v>55</v>
      </c>
      <c r="K255" s="7" t="n">
        <v>88.90000000000001</v>
      </c>
      <c r="L255" s="7" t="n">
        <v>4889.34</v>
      </c>
      <c r="M255" s="7" t="inlineStr">
        <is>
          <t>Overdue</t>
        </is>
      </c>
    </row>
    <row r="256">
      <c r="A256" s="7" t="inlineStr">
        <is>
          <t>PO-00381</t>
        </is>
      </c>
      <c r="B256" s="9" t="n">
        <v>45815</v>
      </c>
      <c r="C256" s="7" t="inlineStr">
        <is>
          <t>Purchase Order</t>
        </is>
      </c>
      <c r="D256" s="7" t="inlineStr">
        <is>
          <t>SUP012</t>
        </is>
      </c>
      <c r="E256" s="7" t="inlineStr">
        <is>
          <t>Pioneer Hardware</t>
        </is>
      </c>
      <c r="F256" s="7" t="inlineStr">
        <is>
          <t>Maintenance</t>
        </is>
      </c>
      <c r="G256" s="7" t="inlineStr">
        <is>
          <t>Tools and supplies</t>
        </is>
      </c>
      <c r="H256" s="7" t="inlineStr">
        <is>
          <t>Manufacturing</t>
        </is>
      </c>
      <c r="I256" s="7" t="inlineStr">
        <is>
          <t>West</t>
        </is>
      </c>
      <c r="J256" s="7" t="n">
        <v>94</v>
      </c>
      <c r="K256" s="7" t="n">
        <v>25.5</v>
      </c>
      <c r="L256" s="7" t="n">
        <v>2396.99</v>
      </c>
      <c r="M256" s="7" t="inlineStr">
        <is>
          <t>Overdue</t>
        </is>
      </c>
    </row>
    <row r="257">
      <c r="A257" s="7" t="inlineStr">
        <is>
          <t>PO-00143</t>
        </is>
      </c>
      <c r="B257" s="9" t="n">
        <v>45817</v>
      </c>
      <c r="C257" s="7" t="inlineStr">
        <is>
          <t>Goods Receipt</t>
        </is>
      </c>
      <c r="D257" s="7" t="inlineStr">
        <is>
          <t>SUP006</t>
        </is>
      </c>
      <c r="E257" s="7" t="inlineStr">
        <is>
          <t>Metro Logistics Pvt Ltd</t>
        </is>
      </c>
      <c r="F257" s="7" t="inlineStr">
        <is>
          <t>Logistics</t>
        </is>
      </c>
      <c r="G257" s="7" t="inlineStr">
        <is>
          <t>Courier services</t>
        </is>
      </c>
      <c r="H257" s="7" t="inlineStr">
        <is>
          <t>Operations</t>
        </is>
      </c>
      <c r="I257" s="7" t="inlineStr">
        <is>
          <t>North</t>
        </is>
      </c>
      <c r="J257" s="7" t="n">
        <v>20</v>
      </c>
      <c r="K257" s="7" t="n">
        <v>781.37</v>
      </c>
      <c r="L257" s="7" t="n">
        <v>15627.31</v>
      </c>
      <c r="M257" s="7" t="inlineStr">
        <is>
          <t>Pending</t>
        </is>
      </c>
    </row>
    <row r="258">
      <c r="A258" s="7" t="inlineStr">
        <is>
          <t>PO-00140</t>
        </is>
      </c>
      <c r="B258" s="9" t="n">
        <v>45818</v>
      </c>
      <c r="C258" s="7" t="inlineStr">
        <is>
          <t>Invoice</t>
        </is>
      </c>
      <c r="D258" s="7" t="inlineStr">
        <is>
          <t>SUP011</t>
        </is>
      </c>
      <c r="E258" s="7" t="inlineStr">
        <is>
          <t>Vertex Marketing</t>
        </is>
      </c>
      <c r="F258" s="7" t="inlineStr">
        <is>
          <t>Marketing</t>
        </is>
      </c>
      <c r="G258" s="7" t="inlineStr">
        <is>
          <t>Digital campaign</t>
        </is>
      </c>
      <c r="H258" s="7" t="inlineStr">
        <is>
          <t>Corporate</t>
        </is>
      </c>
      <c r="I258" s="7" t="inlineStr">
        <is>
          <t>North</t>
        </is>
      </c>
      <c r="J258" s="7" t="n">
        <v>88</v>
      </c>
      <c r="K258" s="7" t="n">
        <v>195.12</v>
      </c>
      <c r="L258" s="7" t="n">
        <v>17170.23</v>
      </c>
      <c r="M258" s="7" t="inlineStr">
        <is>
          <t>Paid</t>
        </is>
      </c>
    </row>
    <row r="259">
      <c r="A259" s="7" t="inlineStr">
        <is>
          <t>PO-00535</t>
        </is>
      </c>
      <c r="B259" s="9" t="n">
        <v>45818</v>
      </c>
      <c r="C259" s="7" t="inlineStr">
        <is>
          <t>Goods Receipt</t>
        </is>
      </c>
      <c r="D259" s="7" t="inlineStr">
        <is>
          <t>SUP006</t>
        </is>
      </c>
      <c r="E259" s="7" t="inlineStr">
        <is>
          <t>Metro Logistics Pvt Ltd</t>
        </is>
      </c>
      <c r="F259" s="7" t="inlineStr">
        <is>
          <t>Logistics</t>
        </is>
      </c>
      <c r="G259" s="7" t="inlineStr">
        <is>
          <t>Warehouse handling</t>
        </is>
      </c>
      <c r="H259" s="7" t="inlineStr">
        <is>
          <t>Operations</t>
        </is>
      </c>
      <c r="I259" s="7" t="inlineStr">
        <is>
          <t>West</t>
        </is>
      </c>
      <c r="J259" s="7" t="n">
        <v>24</v>
      </c>
      <c r="K259" s="7" t="n">
        <v>735.11</v>
      </c>
      <c r="L259" s="7" t="n">
        <v>17642.57</v>
      </c>
      <c r="M259" s="7" t="inlineStr">
        <is>
          <t>Overdue</t>
        </is>
      </c>
    </row>
    <row r="260">
      <c r="A260" s="7" t="inlineStr">
        <is>
          <t>PO-00278</t>
        </is>
      </c>
      <c r="B260" s="9" t="n">
        <v>45819</v>
      </c>
      <c r="C260" s="7" t="inlineStr">
        <is>
          <t>Goods Receipt</t>
        </is>
      </c>
      <c r="D260" s="7" t="inlineStr">
        <is>
          <t>SUP001</t>
        </is>
      </c>
      <c r="E260" s="7" t="inlineStr">
        <is>
          <t>Apex Office Supplies</t>
        </is>
      </c>
      <c r="F260" s="7" t="inlineStr">
        <is>
          <t>Office Supplies</t>
        </is>
      </c>
      <c r="G260" s="7" t="inlineStr">
        <is>
          <t>Pens and stationery</t>
        </is>
      </c>
      <c r="H260" s="7" t="inlineStr">
        <is>
          <t>Corporate</t>
        </is>
      </c>
      <c r="I260" s="7" t="inlineStr">
        <is>
          <t>East</t>
        </is>
      </c>
      <c r="J260" s="7" t="n">
        <v>97</v>
      </c>
      <c r="K260" s="7" t="n">
        <v>109.45</v>
      </c>
      <c r="L260" s="7" t="n">
        <v>10616.21</v>
      </c>
      <c r="M260" s="7" t="inlineStr">
        <is>
          <t>Paid</t>
        </is>
      </c>
    </row>
    <row r="261">
      <c r="A261" s="7" t="inlineStr">
        <is>
          <t>PO-00159</t>
        </is>
      </c>
      <c r="B261" s="9" t="n">
        <v>45819</v>
      </c>
      <c r="C261" s="7" t="inlineStr">
        <is>
          <t>Invoice</t>
        </is>
      </c>
      <c r="D261" s="7" t="inlineStr">
        <is>
          <t>SUP003</t>
        </is>
      </c>
      <c r="E261" s="7" t="inlineStr">
        <is>
          <t>Northstar IT Services</t>
        </is>
      </c>
      <c r="F261" s="7" t="inlineStr">
        <is>
          <t>IT Services</t>
        </is>
      </c>
      <c r="G261" s="7" t="inlineStr">
        <is>
          <t>Cloud services</t>
        </is>
      </c>
      <c r="H261" s="7" t="inlineStr">
        <is>
          <t>Manufacturing</t>
        </is>
      </c>
      <c r="I261" s="7" t="inlineStr">
        <is>
          <t>North</t>
        </is>
      </c>
      <c r="J261" s="7" t="n">
        <v>81</v>
      </c>
      <c r="K261" s="7" t="n">
        <v>178.49</v>
      </c>
      <c r="L261" s="7" t="n">
        <v>14457.33</v>
      </c>
      <c r="M261" s="7" t="inlineStr">
        <is>
          <t>Pending</t>
        </is>
      </c>
    </row>
    <row r="262">
      <c r="A262" s="7" t="inlineStr">
        <is>
          <t>PO-00387</t>
        </is>
      </c>
      <c r="B262" s="9" t="n">
        <v>45821</v>
      </c>
      <c r="C262" s="7" t="inlineStr">
        <is>
          <t>Invoice</t>
        </is>
      </c>
      <c r="D262" s="7" t="inlineStr">
        <is>
          <t>SUP005</t>
        </is>
      </c>
      <c r="E262" s="7" t="inlineStr">
        <is>
          <t>Metro Logistics</t>
        </is>
      </c>
      <c r="F262" s="7" t="inlineStr">
        <is>
          <t>Logistics</t>
        </is>
      </c>
      <c r="G262" s="7" t="inlineStr">
        <is>
          <t>Freight services</t>
        </is>
      </c>
      <c r="H262" s="7" t="inlineStr">
        <is>
          <t>Corporate</t>
        </is>
      </c>
      <c r="I262" s="7" t="inlineStr">
        <is>
          <t>North</t>
        </is>
      </c>
      <c r="J262" s="7" t="n">
        <v>22</v>
      </c>
      <c r="K262" s="7" t="n">
        <v>111.79</v>
      </c>
      <c r="L262" s="7" t="n">
        <v>2459.4</v>
      </c>
      <c r="M262" s="7" t="inlineStr">
        <is>
          <t>Pending</t>
        </is>
      </c>
    </row>
    <row r="263">
      <c r="A263" s="7" t="inlineStr">
        <is>
          <t>PO-00350</t>
        </is>
      </c>
      <c r="B263" s="9" t="n">
        <v>45822</v>
      </c>
      <c r="C263" s="7" t="inlineStr">
        <is>
          <t>Purchase Order</t>
        </is>
      </c>
      <c r="D263" s="7" t="inlineStr">
        <is>
          <t>SUP004</t>
        </is>
      </c>
      <c r="E263" s="7" t="inlineStr">
        <is>
          <t>North Star IT Svc</t>
        </is>
      </c>
      <c r="F263" s="7" t="inlineStr">
        <is>
          <t>IT Services</t>
        </is>
      </c>
      <c r="G263" s="7" t="inlineStr">
        <is>
          <t>IT consulting</t>
        </is>
      </c>
      <c r="H263" s="7" t="inlineStr">
        <is>
          <t>Technology</t>
        </is>
      </c>
      <c r="I263" s="7" t="inlineStr">
        <is>
          <t>North</t>
        </is>
      </c>
      <c r="J263" s="7" t="n">
        <v>35</v>
      </c>
      <c r="K263" s="7" t="n">
        <v>631.37</v>
      </c>
      <c r="L263" s="7" t="n">
        <v>22097.87</v>
      </c>
      <c r="M263" s="7" t="inlineStr">
        <is>
          <t>Overdue</t>
        </is>
      </c>
    </row>
    <row r="264">
      <c r="A264" s="7" t="inlineStr">
        <is>
          <t>PO-00291</t>
        </is>
      </c>
      <c r="B264" s="9" t="n">
        <v>45822</v>
      </c>
      <c r="C264" s="7" t="inlineStr">
        <is>
          <t>Purchase Order</t>
        </is>
      </c>
      <c r="D264" s="7" t="inlineStr">
        <is>
          <t>SUP010</t>
        </is>
      </c>
      <c r="E264" s="7" t="inlineStr">
        <is>
          <t>Urban Energy Solutions</t>
        </is>
      </c>
      <c r="F264" s="7" t="inlineStr">
        <is>
          <t>Utilities</t>
        </is>
      </c>
      <c r="G264" s="7" t="inlineStr">
        <is>
          <t>Water services</t>
        </is>
      </c>
      <c r="H264" s="7" t="inlineStr">
        <is>
          <t>Technology</t>
        </is>
      </c>
      <c r="I264" s="7" t="inlineStr">
        <is>
          <t>East</t>
        </is>
      </c>
      <c r="J264" s="7" t="n">
        <v>41</v>
      </c>
      <c r="K264" s="7" t="n">
        <v>90.52</v>
      </c>
      <c r="L264" s="7" t="n">
        <v>3711.22</v>
      </c>
      <c r="M264" s="7" t="inlineStr">
        <is>
          <t>Overdue</t>
        </is>
      </c>
    </row>
    <row r="265">
      <c r="A265" s="7" t="inlineStr">
        <is>
          <t>PO-00417</t>
        </is>
      </c>
      <c r="B265" s="9" t="n">
        <v>45824</v>
      </c>
      <c r="C265" s="7" t="inlineStr">
        <is>
          <t>Goods Receipt</t>
        </is>
      </c>
      <c r="D265" s="7" t="inlineStr">
        <is>
          <t>SUP005</t>
        </is>
      </c>
      <c r="E265" s="7" t="inlineStr">
        <is>
          <t>Metro Logistics</t>
        </is>
      </c>
      <c r="F265" s="7" t="inlineStr">
        <is>
          <t>Logistics</t>
        </is>
      </c>
      <c r="G265" s="7" t="inlineStr">
        <is>
          <t>Courier services</t>
        </is>
      </c>
      <c r="H265" s="7" t="inlineStr">
        <is>
          <t>Operations</t>
        </is>
      </c>
      <c r="I265" s="7" t="inlineStr">
        <is>
          <t>South</t>
        </is>
      </c>
      <c r="J265" s="7" t="n">
        <v>115</v>
      </c>
      <c r="K265" s="7" t="n">
        <v>189.73</v>
      </c>
      <c r="L265" s="7" t="n">
        <v>21818.41</v>
      </c>
      <c r="M265" s="7" t="inlineStr">
        <is>
          <t>Overdue</t>
        </is>
      </c>
    </row>
    <row r="266">
      <c r="A266" s="7" t="inlineStr">
        <is>
          <t>PO-00225</t>
        </is>
      </c>
      <c r="B266" s="9" t="n">
        <v>45824</v>
      </c>
      <c r="C266" s="7" t="inlineStr">
        <is>
          <t>Invoice</t>
        </is>
      </c>
      <c r="D266" s="7" t="inlineStr">
        <is>
          <t>SUP011</t>
        </is>
      </c>
      <c r="E266" s="7" t="inlineStr">
        <is>
          <t>Vertex Marketing</t>
        </is>
      </c>
      <c r="F266" s="7" t="inlineStr">
        <is>
          <t>Marketing</t>
        </is>
      </c>
      <c r="G266" s="7" t="inlineStr">
        <is>
          <t>Promotional materials</t>
        </is>
      </c>
      <c r="H266" s="7" t="inlineStr">
        <is>
          <t>Technology</t>
        </is>
      </c>
      <c r="I266" s="7" t="inlineStr">
        <is>
          <t>East</t>
        </is>
      </c>
      <c r="J266" s="7" t="n">
        <v>23</v>
      </c>
      <c r="K266" s="7" t="n">
        <v>298.16</v>
      </c>
      <c r="L266" s="7" t="n">
        <v>6857.63</v>
      </c>
      <c r="M266" s="7" t="inlineStr">
        <is>
          <t>Overdue</t>
        </is>
      </c>
    </row>
    <row r="267">
      <c r="A267" s="7" t="inlineStr">
        <is>
          <t>PO-00362</t>
        </is>
      </c>
      <c r="B267" s="9" t="n">
        <v>45825</v>
      </c>
      <c r="C267" s="7" t="inlineStr">
        <is>
          <t>Invoice</t>
        </is>
      </c>
      <c r="D267" s="7" t="inlineStr">
        <is>
          <t>SUP003</t>
        </is>
      </c>
      <c r="E267" s="7" t="inlineStr">
        <is>
          <t>Northstar IT Services</t>
        </is>
      </c>
      <c r="F267" s="7" t="inlineStr">
        <is>
          <t>IT Services</t>
        </is>
      </c>
      <c r="G267" s="7" t="inlineStr">
        <is>
          <t>IT consulting</t>
        </is>
      </c>
      <c r="H267" s="7" t="inlineStr">
        <is>
          <t>Corporate</t>
        </is>
      </c>
      <c r="I267" s="7" t="inlineStr">
        <is>
          <t>East</t>
        </is>
      </c>
      <c r="J267" s="7" t="n">
        <v>46</v>
      </c>
      <c r="K267" s="7" t="n">
        <v>168.45</v>
      </c>
      <c r="L267" s="7" t="n">
        <v>7748.86</v>
      </c>
      <c r="M267" s="7" t="inlineStr">
        <is>
          <t>Pending</t>
        </is>
      </c>
    </row>
    <row r="268">
      <c r="A268" s="7" t="inlineStr">
        <is>
          <t>PO-00120</t>
        </is>
      </c>
      <c r="B268" s="9" t="n">
        <v>45825</v>
      </c>
      <c r="C268" s="7" t="inlineStr">
        <is>
          <t>Goods Receipt</t>
        </is>
      </c>
      <c r="D268" s="7" t="inlineStr">
        <is>
          <t>SUP012</t>
        </is>
      </c>
      <c r="E268" s="7" t="inlineStr">
        <is>
          <t>Pioneer Hardware</t>
        </is>
      </c>
      <c r="F268" s="7" t="inlineStr">
        <is>
          <t>Maintenance</t>
        </is>
      </c>
      <c r="G268" s="7" t="inlineStr">
        <is>
          <t>Equipment servicing</t>
        </is>
      </c>
      <c r="H268" s="7" t="inlineStr">
        <is>
          <t>Manufacturing</t>
        </is>
      </c>
      <c r="I268" s="7" t="inlineStr">
        <is>
          <t>East</t>
        </is>
      </c>
      <c r="J268" s="7" t="n">
        <v>101</v>
      </c>
      <c r="K268" s="7" t="n">
        <v>36.73</v>
      </c>
      <c r="L268" s="7" t="n">
        <v>3710.21</v>
      </c>
      <c r="M268" s="7" t="inlineStr">
        <is>
          <t>Paid</t>
        </is>
      </c>
    </row>
    <row r="269">
      <c r="A269" s="7" t="inlineStr">
        <is>
          <t>PO-00352</t>
        </is>
      </c>
      <c r="B269" s="9" t="n">
        <v>45825</v>
      </c>
      <c r="C269" s="7" t="inlineStr">
        <is>
          <t>Invoice</t>
        </is>
      </c>
      <c r="D269" s="7" t="inlineStr">
        <is>
          <t>SUP002</t>
        </is>
      </c>
      <c r="E269" s="7" t="inlineStr">
        <is>
          <t>Apex Office Supply Ltd</t>
        </is>
      </c>
      <c r="F269" s="7" t="inlineStr">
        <is>
          <t>Office Supplies</t>
        </is>
      </c>
      <c r="G269" s="7" t="inlineStr">
        <is>
          <t>Toner cartridges</t>
        </is>
      </c>
      <c r="H269" s="7" t="inlineStr">
        <is>
          <t>Technology</t>
        </is>
      </c>
      <c r="I269" s="7" t="inlineStr">
        <is>
          <t>South</t>
        </is>
      </c>
      <c r="J269" s="7" t="n">
        <v>26</v>
      </c>
      <c r="K269" s="7" t="n">
        <v>10.1</v>
      </c>
      <c r="L269" s="7" t="n">
        <v>262.49</v>
      </c>
      <c r="M269" s="7" t="inlineStr">
        <is>
          <t>Pending</t>
        </is>
      </c>
    </row>
    <row r="270">
      <c r="A270" s="7" t="inlineStr">
        <is>
          <t>PO-00132</t>
        </is>
      </c>
      <c r="B270" s="9" t="n">
        <v>45826</v>
      </c>
      <c r="C270" s="7" t="inlineStr">
        <is>
          <t>Purchase Order</t>
        </is>
      </c>
      <c r="D270" s="7" t="inlineStr">
        <is>
          <t>SUP003</t>
        </is>
      </c>
      <c r="E270" s="7" t="inlineStr">
        <is>
          <t>Northstar IT Services</t>
        </is>
      </c>
      <c r="F270" s="7" t="inlineStr">
        <is>
          <t>IT Services</t>
        </is>
      </c>
      <c r="G270" s="7" t="inlineStr">
        <is>
          <t>Software support</t>
        </is>
      </c>
      <c r="H270" s="7" t="inlineStr">
        <is>
          <t>Manufacturing</t>
        </is>
      </c>
      <c r="I270" s="7" t="inlineStr">
        <is>
          <t>East</t>
        </is>
      </c>
      <c r="J270" s="7" t="n">
        <v>36</v>
      </c>
      <c r="K270" s="7" t="n">
        <v>508.87</v>
      </c>
      <c r="L270" s="7" t="n">
        <v>18319.46</v>
      </c>
      <c r="M270" s="7" t="inlineStr">
        <is>
          <t>Paid</t>
        </is>
      </c>
    </row>
    <row r="271">
      <c r="A271" s="7" t="inlineStr">
        <is>
          <t>PO-00451</t>
        </is>
      </c>
      <c r="B271" s="9" t="n">
        <v>45827</v>
      </c>
      <c r="C271" s="7" t="inlineStr">
        <is>
          <t>Invoice</t>
        </is>
      </c>
      <c r="D271" s="7" t="inlineStr">
        <is>
          <t>SUP005</t>
        </is>
      </c>
      <c r="E271" s="7" t="inlineStr">
        <is>
          <t>Metro Logistics</t>
        </is>
      </c>
      <c r="F271" s="7" t="inlineStr">
        <is>
          <t>Facilities</t>
        </is>
      </c>
      <c r="G271" s="7" t="inlineStr">
        <is>
          <t>Cleaning services</t>
        </is>
      </c>
      <c r="H271" s="7" t="inlineStr">
        <is>
          <t>Corporate</t>
        </is>
      </c>
      <c r="I271" s="7" t="inlineStr">
        <is>
          <t>West</t>
        </is>
      </c>
      <c r="J271" s="7" t="n">
        <v>49</v>
      </c>
      <c r="K271" s="7" t="n">
        <v>203.32</v>
      </c>
      <c r="L271" s="7" t="n">
        <v>9962.860000000001</v>
      </c>
      <c r="M271" s="7" t="inlineStr">
        <is>
          <t>Pending</t>
        </is>
      </c>
    </row>
    <row r="272">
      <c r="A272" s="7" t="inlineStr">
        <is>
          <t>PO-00482</t>
        </is>
      </c>
      <c r="B272" s="9" t="n">
        <v>45827</v>
      </c>
      <c r="C272" s="7" t="inlineStr">
        <is>
          <t>Invoice</t>
        </is>
      </c>
      <c r="D272" s="7" t="inlineStr">
        <is>
          <t>SUP001</t>
        </is>
      </c>
      <c r="E272" s="7" t="inlineStr">
        <is>
          <t>Apex Office Supplies</t>
        </is>
      </c>
      <c r="F272" s="7" t="inlineStr">
        <is>
          <t>Office Supplies</t>
        </is>
      </c>
      <c r="G272" s="7" t="inlineStr">
        <is>
          <t>Toner cartridges</t>
        </is>
      </c>
      <c r="H272" s="7" t="inlineStr">
        <is>
          <t>Corporate</t>
        </is>
      </c>
      <c r="I272" s="7" t="inlineStr">
        <is>
          <t>South</t>
        </is>
      </c>
      <c r="J272" s="7" t="n">
        <v>102</v>
      </c>
      <c r="K272" s="7" t="n">
        <v>10.69</v>
      </c>
      <c r="L272" s="7" t="n">
        <v>1090.31</v>
      </c>
      <c r="M272" s="7" t="inlineStr">
        <is>
          <t>Pending</t>
        </is>
      </c>
    </row>
    <row r="273">
      <c r="A273" s="7" t="inlineStr">
        <is>
          <t>PO-00260</t>
        </is>
      </c>
      <c r="B273" s="9" t="n">
        <v>45827</v>
      </c>
      <c r="C273" s="7" t="inlineStr">
        <is>
          <t>Purchase Order</t>
        </is>
      </c>
      <c r="D273" s="7" t="inlineStr">
        <is>
          <t>SUP011</t>
        </is>
      </c>
      <c r="E273" s="7" t="inlineStr">
        <is>
          <t>Vertex Marketing</t>
        </is>
      </c>
      <c r="F273" s="7" t="inlineStr">
        <is>
          <t>Marketing</t>
        </is>
      </c>
      <c r="G273" s="7" t="inlineStr">
        <is>
          <t>Promotional materials</t>
        </is>
      </c>
      <c r="H273" s="7" t="inlineStr">
        <is>
          <t>Operations</t>
        </is>
      </c>
      <c r="I273" s="7" t="inlineStr">
        <is>
          <t>North</t>
        </is>
      </c>
      <c r="J273" s="7" t="n">
        <v>48</v>
      </c>
      <c r="K273" s="7" t="n">
        <v>170.05</v>
      </c>
      <c r="L273" s="7" t="n">
        <v>8162.19</v>
      </c>
      <c r="M273" s="7" t="inlineStr">
        <is>
          <t>Pending</t>
        </is>
      </c>
    </row>
    <row r="274">
      <c r="A274" s="7" t="inlineStr">
        <is>
          <t>PO-00131</t>
        </is>
      </c>
      <c r="B274" s="9" t="n">
        <v>45828</v>
      </c>
      <c r="C274" s="7" t="inlineStr">
        <is>
          <t>Purchase Order</t>
        </is>
      </c>
      <c r="D274" s="7" t="inlineStr">
        <is>
          <t>SUP004</t>
        </is>
      </c>
      <c r="E274" s="7" t="inlineStr">
        <is>
          <t>North Star IT Svc</t>
        </is>
      </c>
      <c r="F274" s="7" t="inlineStr">
        <is>
          <t>IT Services</t>
        </is>
      </c>
      <c r="G274" s="7" t="inlineStr">
        <is>
          <t>IT consulting</t>
        </is>
      </c>
      <c r="H274" s="7" t="inlineStr">
        <is>
          <t>Operations</t>
        </is>
      </c>
      <c r="I274" s="7" t="inlineStr">
        <is>
          <t>South</t>
        </is>
      </c>
      <c r="J274" s="7" t="n">
        <v>27</v>
      </c>
      <c r="K274" s="7" t="n">
        <v>893.52</v>
      </c>
      <c r="L274" s="7" t="n">
        <v>24124.99</v>
      </c>
      <c r="M274" s="7" t="inlineStr">
        <is>
          <t>Paid</t>
        </is>
      </c>
    </row>
    <row r="275">
      <c r="A275" s="7" t="inlineStr">
        <is>
          <t>PO-00184</t>
        </is>
      </c>
      <c r="B275" s="9" t="n">
        <v>45828</v>
      </c>
      <c r="C275" s="7" t="inlineStr">
        <is>
          <t>Purchase Order</t>
        </is>
      </c>
      <c r="D275" s="7" t="inlineStr">
        <is>
          <t>SUP003</t>
        </is>
      </c>
      <c r="E275" s="7" t="inlineStr">
        <is>
          <t>Northstar IT Services</t>
        </is>
      </c>
      <c r="F275" s="7" t="inlineStr">
        <is>
          <t>Maintenance</t>
        </is>
      </c>
      <c r="G275" s="7" t="inlineStr">
        <is>
          <t>Tools and supplies</t>
        </is>
      </c>
      <c r="H275" s="7" t="inlineStr">
        <is>
          <t>Sales</t>
        </is>
      </c>
      <c r="I275" s="7" t="inlineStr">
        <is>
          <t>West</t>
        </is>
      </c>
      <c r="J275" s="7" t="n">
        <v>83</v>
      </c>
      <c r="K275" s="7" t="n">
        <v>74.38</v>
      </c>
      <c r="L275" s="7" t="n">
        <v>6173.22</v>
      </c>
      <c r="M275" s="7" t="inlineStr">
        <is>
          <t>Overdue</t>
        </is>
      </c>
    </row>
    <row r="276">
      <c r="A276" s="7" t="inlineStr">
        <is>
          <t>PO-00156</t>
        </is>
      </c>
      <c r="B276" s="9" t="n">
        <v>45828</v>
      </c>
      <c r="C276" s="7" t="inlineStr">
        <is>
          <t>Goods Receipt</t>
        </is>
      </c>
      <c r="D276" s="7" t="inlineStr">
        <is>
          <t>SUP003</t>
        </is>
      </c>
      <c r="E276" s="7" t="inlineStr">
        <is>
          <t>Northstar IT Services</t>
        </is>
      </c>
      <c r="F276" s="7" t="inlineStr">
        <is>
          <t>IT Services</t>
        </is>
      </c>
      <c r="G276" s="7" t="inlineStr">
        <is>
          <t>Software support</t>
        </is>
      </c>
      <c r="H276" s="7" t="inlineStr">
        <is>
          <t>Technology</t>
        </is>
      </c>
      <c r="I276" s="7" t="inlineStr">
        <is>
          <t>East</t>
        </is>
      </c>
      <c r="J276" s="7" t="n">
        <v>68</v>
      </c>
      <c r="K276" s="7" t="n">
        <v>286.05</v>
      </c>
      <c r="L276" s="7" t="n">
        <v>19451.5</v>
      </c>
      <c r="M276" s="7" t="inlineStr">
        <is>
          <t>Overdue</t>
        </is>
      </c>
    </row>
    <row r="277">
      <c r="A277" s="7" t="inlineStr">
        <is>
          <t>PO-00548</t>
        </is>
      </c>
      <c r="B277" s="9" t="n">
        <v>45829</v>
      </c>
      <c r="C277" s="7" t="inlineStr">
        <is>
          <t>Invoice</t>
        </is>
      </c>
      <c r="D277" s="7" t="inlineStr">
        <is>
          <t>SUP005</t>
        </is>
      </c>
      <c r="E277" s="7" t="inlineStr">
        <is>
          <t>Metro Logistics</t>
        </is>
      </c>
      <c r="F277" s="7" t="inlineStr">
        <is>
          <t>Logistics</t>
        </is>
      </c>
      <c r="G277" s="7" t="inlineStr">
        <is>
          <t>Courier services</t>
        </is>
      </c>
      <c r="H277" s="7" t="inlineStr">
        <is>
          <t>Corporate</t>
        </is>
      </c>
      <c r="I277" s="7" t="inlineStr">
        <is>
          <t>West</t>
        </is>
      </c>
      <c r="J277" s="7" t="n">
        <v>120</v>
      </c>
      <c r="K277" s="7" t="n">
        <v>143.64</v>
      </c>
      <c r="L277" s="7" t="n">
        <v>17236.4</v>
      </c>
      <c r="M277" s="7" t="inlineStr">
        <is>
          <t>Paid</t>
        </is>
      </c>
    </row>
    <row r="278">
      <c r="A278" s="7" t="inlineStr">
        <is>
          <t>PO-00065</t>
        </is>
      </c>
      <c r="B278" s="9" t="n">
        <v>45830</v>
      </c>
      <c r="C278" s="7" t="inlineStr">
        <is>
          <t>Invoice</t>
        </is>
      </c>
      <c r="D278" s="7" t="inlineStr">
        <is>
          <t>SUP007</t>
        </is>
      </c>
      <c r="E278" s="7" t="inlineStr">
        <is>
          <t>BrightClean Facilities</t>
        </is>
      </c>
      <c r="F278" s="7" t="inlineStr">
        <is>
          <t>Facilities</t>
        </is>
      </c>
      <c r="G278" s="7" t="inlineStr">
        <is>
          <t>Cleaning services</t>
        </is>
      </c>
      <c r="H278" s="7" t="inlineStr">
        <is>
          <t>Sales</t>
        </is>
      </c>
      <c r="I278" s="7" t="inlineStr">
        <is>
          <t>North</t>
        </is>
      </c>
      <c r="J278" s="7" t="n">
        <v>54</v>
      </c>
      <c r="K278" s="7" t="n">
        <v>317.18</v>
      </c>
      <c r="L278" s="7" t="n">
        <v>17127.53</v>
      </c>
      <c r="M278" s="7" t="inlineStr">
        <is>
          <t>Overdue</t>
        </is>
      </c>
    </row>
    <row r="279">
      <c r="A279" s="7" t="inlineStr">
        <is>
          <t>PO-00170</t>
        </is>
      </c>
      <c r="B279" s="9" t="n">
        <v>45830</v>
      </c>
      <c r="C279" s="7" t="inlineStr">
        <is>
          <t>Purchase Order</t>
        </is>
      </c>
      <c r="D279" s="7" t="inlineStr">
        <is>
          <t>SUP010</t>
        </is>
      </c>
      <c r="E279" s="7" t="inlineStr">
        <is>
          <t>Urban Energy Solutions</t>
        </is>
      </c>
      <c r="F279" s="7" t="inlineStr">
        <is>
          <t>Utilities</t>
        </is>
      </c>
      <c r="G279" s="7" t="inlineStr">
        <is>
          <t>Natural gas</t>
        </is>
      </c>
      <c r="H279" s="7" t="inlineStr">
        <is>
          <t>Manufacturing</t>
        </is>
      </c>
      <c r="I279" s="7" t="inlineStr">
        <is>
          <t>South</t>
        </is>
      </c>
      <c r="J279" s="7" t="n">
        <v>21</v>
      </c>
      <c r="K279" s="7" t="n">
        <v>326.46</v>
      </c>
      <c r="L279" s="7" t="n">
        <v>6855.75</v>
      </c>
      <c r="M279" s="7" t="inlineStr">
        <is>
          <t>Overdue</t>
        </is>
      </c>
    </row>
    <row r="280">
      <c r="A280" s="7" t="inlineStr">
        <is>
          <t>PO-00025</t>
        </is>
      </c>
      <c r="B280" s="9" t="n">
        <v>45831</v>
      </c>
      <c r="C280" s="7" t="inlineStr">
        <is>
          <t>Purchase Order</t>
        </is>
      </c>
      <c r="D280" s="7" t="inlineStr">
        <is>
          <t>SUP002</t>
        </is>
      </c>
      <c r="E280" s="7" t="inlineStr">
        <is>
          <t>Apex Office Supply Ltd</t>
        </is>
      </c>
      <c r="F280" s="7" t="inlineStr">
        <is>
          <t>Office Supplies</t>
        </is>
      </c>
      <c r="G280" s="7" t="inlineStr">
        <is>
          <t>Pens and stationery</t>
        </is>
      </c>
      <c r="H280" s="7" t="inlineStr">
        <is>
          <t>Operations</t>
        </is>
      </c>
      <c r="I280" s="7" t="inlineStr">
        <is>
          <t>East</t>
        </is>
      </c>
      <c r="J280" s="7" t="n">
        <v>58</v>
      </c>
      <c r="K280" s="7" t="n">
        <v>60.71</v>
      </c>
      <c r="M280" s="7" t="inlineStr">
        <is>
          <t>Pending</t>
        </is>
      </c>
    </row>
    <row r="281">
      <c r="A281" s="7" t="inlineStr">
        <is>
          <t>PO-00448</t>
        </is>
      </c>
      <c r="B281" s="9" t="n">
        <v>45831</v>
      </c>
      <c r="C281" s="7" t="inlineStr">
        <is>
          <t>Invoice</t>
        </is>
      </c>
      <c r="D281" s="7" t="inlineStr">
        <is>
          <t>SUP009</t>
        </is>
      </c>
      <c r="E281" s="7" t="inlineStr">
        <is>
          <t>Summit Consulting</t>
        </is>
      </c>
      <c r="F281" s="7" t="inlineStr">
        <is>
          <t>Professional Services</t>
        </is>
      </c>
      <c r="G281" s="7" t="inlineStr">
        <is>
          <t>Audit support</t>
        </is>
      </c>
      <c r="H281" s="7" t="inlineStr">
        <is>
          <t>Operations</t>
        </is>
      </c>
      <c r="I281" s="7" t="inlineStr">
        <is>
          <t>West</t>
        </is>
      </c>
      <c r="J281" s="7" t="n">
        <v>13</v>
      </c>
      <c r="K281" s="7" t="n">
        <v>1653.76</v>
      </c>
      <c r="L281" s="7" t="n">
        <v>21498.84</v>
      </c>
      <c r="M281" s="7" t="inlineStr">
        <is>
          <t>Pending</t>
        </is>
      </c>
    </row>
    <row r="282">
      <c r="A282" s="7" t="inlineStr">
        <is>
          <t>PO-00458</t>
        </is>
      </c>
      <c r="B282" s="9" t="n">
        <v>45831</v>
      </c>
      <c r="C282" s="7" t="inlineStr">
        <is>
          <t>Goods Receipt</t>
        </is>
      </c>
      <c r="D282" s="7" t="inlineStr">
        <is>
          <t>SUP002</t>
        </is>
      </c>
      <c r="E282" s="7" t="inlineStr">
        <is>
          <t>Apex Office Supply Ltd</t>
        </is>
      </c>
      <c r="F282" s="7" t="inlineStr">
        <is>
          <t>Office Supplies</t>
        </is>
      </c>
      <c r="G282" s="7" t="inlineStr">
        <is>
          <t>Toner cartridges</t>
        </is>
      </c>
      <c r="H282" s="7" t="inlineStr">
        <is>
          <t>Corporate</t>
        </is>
      </c>
      <c r="I282" s="7" t="inlineStr">
        <is>
          <t>West</t>
        </is>
      </c>
      <c r="J282" s="7" t="n">
        <v>82</v>
      </c>
      <c r="K282" s="7" t="n">
        <v>11.6</v>
      </c>
      <c r="L282" s="7" t="n">
        <v>951.4299999999999</v>
      </c>
      <c r="M282" s="7" t="inlineStr">
        <is>
          <t>Pending</t>
        </is>
      </c>
    </row>
    <row r="283">
      <c r="A283" s="7" t="inlineStr">
        <is>
          <t>PO-00209</t>
        </is>
      </c>
      <c r="B283" s="9" t="n">
        <v>45832</v>
      </c>
      <c r="C283" s="7" t="inlineStr">
        <is>
          <t>Goods Receipt</t>
        </is>
      </c>
      <c r="D283" s="7" t="inlineStr">
        <is>
          <t>SUP010</t>
        </is>
      </c>
      <c r="E283" s="7" t="inlineStr">
        <is>
          <t>Urban Energy Solutions</t>
        </is>
      </c>
      <c r="F283" s="7" t="inlineStr">
        <is>
          <t>Utilities</t>
        </is>
      </c>
      <c r="G283" s="7" t="inlineStr">
        <is>
          <t>Water services</t>
        </is>
      </c>
      <c r="H283" s="7" t="inlineStr">
        <is>
          <t>Sales</t>
        </is>
      </c>
      <c r="I283" s="7" t="inlineStr">
        <is>
          <t>South</t>
        </is>
      </c>
      <c r="J283" s="7" t="n">
        <v>41</v>
      </c>
      <c r="K283" s="7" t="n">
        <v>378.62</v>
      </c>
      <c r="L283" s="7" t="n">
        <v>15523.35</v>
      </c>
      <c r="M283" s="7" t="inlineStr">
        <is>
          <t>Pending</t>
        </is>
      </c>
    </row>
    <row r="284">
      <c r="A284" s="7" t="inlineStr">
        <is>
          <t>PO-00015</t>
        </is>
      </c>
      <c r="B284" s="9" t="n">
        <v>45832</v>
      </c>
      <c r="C284" s="7" t="inlineStr">
        <is>
          <t>Goods Receipt</t>
        </is>
      </c>
      <c r="D284" s="7" t="inlineStr">
        <is>
          <t>SUP002</t>
        </is>
      </c>
      <c r="E284" s="7" t="inlineStr">
        <is>
          <t>Apex Office Supply Ltd</t>
        </is>
      </c>
      <c r="F284" s="7" t="inlineStr">
        <is>
          <t>Office Supplies</t>
        </is>
      </c>
      <c r="G284" s="7" t="inlineStr">
        <is>
          <t>Toner cartridges</t>
        </is>
      </c>
      <c r="H284" s="7" t="inlineStr">
        <is>
          <t>Technology</t>
        </is>
      </c>
      <c r="I284" s="7" t="inlineStr">
        <is>
          <t>South</t>
        </is>
      </c>
      <c r="J284" s="7" t="n">
        <v>1</v>
      </c>
      <c r="K284" s="7" t="n">
        <v>2947.86</v>
      </c>
      <c r="L284" s="7" t="n">
        <v>2947.86</v>
      </c>
      <c r="M284" s="7" t="inlineStr">
        <is>
          <t>Overdue</t>
        </is>
      </c>
    </row>
    <row r="285">
      <c r="A285" s="7" t="inlineStr">
        <is>
          <t>PO-00464</t>
        </is>
      </c>
      <c r="B285" s="9" t="n">
        <v>45834</v>
      </c>
      <c r="C285" s="7" t="inlineStr">
        <is>
          <t>Goods Receipt</t>
        </is>
      </c>
      <c r="D285" s="7" t="inlineStr">
        <is>
          <t>SUP011</t>
        </is>
      </c>
      <c r="E285" s="7" t="inlineStr">
        <is>
          <t>Vertex Marketing</t>
        </is>
      </c>
      <c r="F285" s="7" t="inlineStr">
        <is>
          <t>Marketing</t>
        </is>
      </c>
      <c r="G285" s="7" t="inlineStr">
        <is>
          <t>Promotional materials</t>
        </is>
      </c>
      <c r="H285" s="7" t="inlineStr">
        <is>
          <t>Technology</t>
        </is>
      </c>
      <c r="I285" s="7" t="inlineStr">
        <is>
          <t>North</t>
        </is>
      </c>
      <c r="J285" s="7" t="n">
        <v>23</v>
      </c>
      <c r="K285" s="7" t="n">
        <v>557.47</v>
      </c>
      <c r="L285" s="7" t="n">
        <v>12821.89</v>
      </c>
      <c r="M285" s="7" t="inlineStr">
        <is>
          <t>Pending</t>
        </is>
      </c>
    </row>
    <row r="286">
      <c r="A286" s="7" t="inlineStr">
        <is>
          <t>PO-00540</t>
        </is>
      </c>
      <c r="B286" s="9" t="n">
        <v>45835</v>
      </c>
      <c r="C286" s="7" t="inlineStr">
        <is>
          <t>Purchase Order</t>
        </is>
      </c>
      <c r="D286" s="7" t="inlineStr">
        <is>
          <t>SUP007</t>
        </is>
      </c>
      <c r="E286" s="7" t="inlineStr">
        <is>
          <t>BrightClean Facilities</t>
        </is>
      </c>
      <c r="F286" s="7" t="inlineStr">
        <is>
          <t>Facilities</t>
        </is>
      </c>
      <c r="G286" s="7" t="inlineStr">
        <is>
          <t>Security services</t>
        </is>
      </c>
      <c r="H286" s="7" t="inlineStr">
        <is>
          <t>Manufacturing</t>
        </is>
      </c>
      <c r="I286" s="7" t="inlineStr">
        <is>
          <t>West</t>
        </is>
      </c>
      <c r="J286" s="7" t="n">
        <v>59</v>
      </c>
      <c r="K286" s="7" t="n">
        <v>237.17</v>
      </c>
      <c r="L286" s="7" t="n">
        <v>13993.16</v>
      </c>
      <c r="M286" s="7" t="inlineStr">
        <is>
          <t>Pending</t>
        </is>
      </c>
    </row>
    <row r="287">
      <c r="A287" s="7" t="inlineStr">
        <is>
          <t>PO-00477</t>
        </is>
      </c>
      <c r="B287" s="9" t="n">
        <v>45835</v>
      </c>
      <c r="C287" s="7" t="inlineStr">
        <is>
          <t>Goods Receipt</t>
        </is>
      </c>
      <c r="D287" s="7" t="inlineStr">
        <is>
          <t>SUP008</t>
        </is>
      </c>
      <c r="E287" s="7" t="inlineStr">
        <is>
          <t>GreenLeaf Packaging</t>
        </is>
      </c>
      <c r="F287" s="7" t="inlineStr">
        <is>
          <t>Packaging</t>
        </is>
      </c>
      <c r="G287" s="7" t="inlineStr">
        <is>
          <t>Corrugated boxes</t>
        </is>
      </c>
      <c r="H287" s="7" t="inlineStr">
        <is>
          <t>Corporate</t>
        </is>
      </c>
      <c r="I287" s="7" t="inlineStr">
        <is>
          <t>East</t>
        </is>
      </c>
      <c r="J287" s="7" t="n">
        <v>118</v>
      </c>
      <c r="K287" s="7" t="n">
        <v>98.34</v>
      </c>
      <c r="L287" s="7" t="n">
        <v>11603.69</v>
      </c>
      <c r="M287" s="7" t="inlineStr">
        <is>
          <t>Pending</t>
        </is>
      </c>
    </row>
    <row r="288">
      <c r="A288" s="7" t="inlineStr">
        <is>
          <t>PO-00095</t>
        </is>
      </c>
      <c r="B288" s="9" t="n">
        <v>45836</v>
      </c>
      <c r="C288" s="7" t="inlineStr">
        <is>
          <t>Purchase Order</t>
        </is>
      </c>
      <c r="D288" s="7" t="inlineStr">
        <is>
          <t>SUP007</t>
        </is>
      </c>
      <c r="E288" s="7" t="inlineStr">
        <is>
          <t>BrightClean Facilities</t>
        </is>
      </c>
      <c r="F288" s="7" t="inlineStr">
        <is>
          <t>Facilities</t>
        </is>
      </c>
      <c r="G288" s="7" t="inlineStr">
        <is>
          <t>Facility maintenance</t>
        </is>
      </c>
      <c r="H288" s="7" t="inlineStr">
        <is>
          <t>Sales</t>
        </is>
      </c>
      <c r="I288" s="7" t="inlineStr">
        <is>
          <t>West</t>
        </is>
      </c>
      <c r="J288" s="7" t="n">
        <v>110</v>
      </c>
      <c r="K288" s="7" t="n">
        <v>110.02</v>
      </c>
      <c r="L288" s="7" t="n">
        <v>12101.99</v>
      </c>
      <c r="M288" s="7" t="inlineStr">
        <is>
          <t>Pending</t>
        </is>
      </c>
    </row>
    <row r="289">
      <c r="A289" s="7" t="inlineStr">
        <is>
          <t>PO-00549</t>
        </is>
      </c>
      <c r="B289" s="9" t="n">
        <v>45837</v>
      </c>
      <c r="C289" s="7" t="inlineStr">
        <is>
          <t>Goods Receipt</t>
        </is>
      </c>
      <c r="D289" s="7" t="inlineStr">
        <is>
          <t>SUP011</t>
        </is>
      </c>
      <c r="E289" s="7" t="inlineStr">
        <is>
          <t>Vertex Marketing</t>
        </is>
      </c>
      <c r="F289" s="7" t="inlineStr">
        <is>
          <t>Marketing</t>
        </is>
      </c>
      <c r="G289" s="7" t="inlineStr">
        <is>
          <t>Promotional materials</t>
        </is>
      </c>
      <c r="H289" s="7" t="inlineStr">
        <is>
          <t>Manufacturing</t>
        </is>
      </c>
      <c r="I289" s="7" t="inlineStr">
        <is>
          <t>South</t>
        </is>
      </c>
      <c r="J289" s="7" t="n">
        <v>74</v>
      </c>
      <c r="K289" s="7" t="n">
        <v>49.69</v>
      </c>
      <c r="L289" s="7" t="n">
        <v>3677.37</v>
      </c>
      <c r="M289" s="7" t="inlineStr">
        <is>
          <t>Pending</t>
        </is>
      </c>
    </row>
    <row r="290">
      <c r="A290" s="7" t="inlineStr">
        <is>
          <t>PO-00334</t>
        </is>
      </c>
      <c r="B290" s="9" t="n">
        <v>45837</v>
      </c>
      <c r="C290" s="7" t="inlineStr">
        <is>
          <t>Invoice</t>
        </is>
      </c>
      <c r="D290" s="7" t="inlineStr">
        <is>
          <t>SUP012</t>
        </is>
      </c>
      <c r="E290" s="7" t="inlineStr">
        <is>
          <t>Pioneer Hardware</t>
        </is>
      </c>
      <c r="F290" s="7" t="inlineStr">
        <is>
          <t>Maintenance</t>
        </is>
      </c>
      <c r="G290" s="7" t="inlineStr">
        <is>
          <t>Tools and supplies</t>
        </is>
      </c>
      <c r="H290" s="7" t="inlineStr">
        <is>
          <t>Sales</t>
        </is>
      </c>
      <c r="I290" s="7" t="inlineStr">
        <is>
          <t>South</t>
        </is>
      </c>
      <c r="J290" s="7" t="n">
        <v>118</v>
      </c>
      <c r="K290" s="7" t="n">
        <v>114.4</v>
      </c>
      <c r="L290" s="7" t="n">
        <v>13499.05</v>
      </c>
      <c r="M290" s="7" t="inlineStr">
        <is>
          <t>Paid</t>
        </is>
      </c>
    </row>
    <row r="291">
      <c r="A291" s="7" t="inlineStr">
        <is>
          <t>PO-00191</t>
        </is>
      </c>
      <c r="B291" s="9" t="n">
        <v>45838</v>
      </c>
      <c r="C291" s="7" t="inlineStr">
        <is>
          <t>Purchase Order</t>
        </is>
      </c>
      <c r="D291" s="7" t="inlineStr">
        <is>
          <t>SUP010</t>
        </is>
      </c>
      <c r="E291" s="7" t="inlineStr">
        <is>
          <t>Urban Energy Solutions</t>
        </is>
      </c>
      <c r="F291" s="7" t="inlineStr">
        <is>
          <t>Utilities</t>
        </is>
      </c>
      <c r="G291" s="7" t="inlineStr">
        <is>
          <t>Electricity</t>
        </is>
      </c>
      <c r="H291" s="7" t="inlineStr">
        <is>
          <t>Sales</t>
        </is>
      </c>
      <c r="I291" s="7" t="inlineStr">
        <is>
          <t>East</t>
        </is>
      </c>
      <c r="J291" s="7" t="n">
        <v>102</v>
      </c>
      <c r="K291" s="7" t="n">
        <v>49.3</v>
      </c>
      <c r="L291" s="7" t="n">
        <v>5029.05</v>
      </c>
      <c r="M291" s="7" t="inlineStr">
        <is>
          <t>Overdue</t>
        </is>
      </c>
    </row>
    <row r="292">
      <c r="A292" s="7" t="inlineStr">
        <is>
          <t>PO-00268</t>
        </is>
      </c>
      <c r="B292" s="9" t="n">
        <v>45838</v>
      </c>
      <c r="C292" s="7" t="inlineStr">
        <is>
          <t>Goods Receipt</t>
        </is>
      </c>
      <c r="D292" s="7" t="inlineStr">
        <is>
          <t>SUP003</t>
        </is>
      </c>
      <c r="E292" s="7" t="inlineStr">
        <is>
          <t>Northstar IT Services</t>
        </is>
      </c>
      <c r="F292" s="7" t="inlineStr">
        <is>
          <t>IT Services</t>
        </is>
      </c>
      <c r="G292" s="7" t="inlineStr">
        <is>
          <t>IT consulting</t>
        </is>
      </c>
      <c r="H292" s="7" t="inlineStr">
        <is>
          <t>Corporate</t>
        </is>
      </c>
      <c r="I292" s="7" t="inlineStr">
        <is>
          <t>North</t>
        </is>
      </c>
      <c r="J292" s="7" t="n">
        <v>24</v>
      </c>
      <c r="K292" s="7" t="n">
        <v>700.7</v>
      </c>
      <c r="L292" s="7" t="n">
        <v>16816.82</v>
      </c>
      <c r="M292" s="7" t="inlineStr">
        <is>
          <t>Paid</t>
        </is>
      </c>
    </row>
    <row r="293">
      <c r="A293" s="7" t="inlineStr">
        <is>
          <t>PO-00423</t>
        </is>
      </c>
      <c r="B293" s="9" t="n">
        <v>45839</v>
      </c>
      <c r="C293" s="7" t="inlineStr">
        <is>
          <t>Invoice</t>
        </is>
      </c>
      <c r="D293" s="7" t="inlineStr">
        <is>
          <t>SUP004</t>
        </is>
      </c>
      <c r="E293" s="7" t="inlineStr">
        <is>
          <t>North Star IT Svc</t>
        </is>
      </c>
      <c r="F293" s="7" t="inlineStr">
        <is>
          <t>IT Services</t>
        </is>
      </c>
      <c r="G293" s="7" t="inlineStr">
        <is>
          <t>Cloud services</t>
        </is>
      </c>
      <c r="H293" s="7" t="inlineStr">
        <is>
          <t>Technology</t>
        </is>
      </c>
      <c r="I293" s="7" t="inlineStr">
        <is>
          <t>East</t>
        </is>
      </c>
      <c r="J293" s="7" t="n">
        <v>101</v>
      </c>
      <c r="K293" s="7" t="n">
        <v>94.44</v>
      </c>
      <c r="L293" s="7" t="n">
        <v>9538.16</v>
      </c>
      <c r="M293" s="7" t="inlineStr">
        <is>
          <t>Pending</t>
        </is>
      </c>
    </row>
    <row r="294">
      <c r="A294" s="7" t="inlineStr">
        <is>
          <t>PO-00550</t>
        </is>
      </c>
      <c r="B294" s="9" t="n">
        <v>45839</v>
      </c>
      <c r="C294" s="7" t="inlineStr">
        <is>
          <t>Invoice</t>
        </is>
      </c>
      <c r="D294" s="7" t="inlineStr">
        <is>
          <t>SUP006</t>
        </is>
      </c>
      <c r="E294" s="7" t="inlineStr">
        <is>
          <t>Metro Logistics Pvt Ltd</t>
        </is>
      </c>
      <c r="F294" s="7" t="inlineStr">
        <is>
          <t>Logistics</t>
        </is>
      </c>
      <c r="G294" s="7" t="inlineStr">
        <is>
          <t>Freight services</t>
        </is>
      </c>
      <c r="H294" s="7" t="inlineStr">
        <is>
          <t>Sales</t>
        </is>
      </c>
      <c r="I294" s="7" t="inlineStr">
        <is>
          <t>East</t>
        </is>
      </c>
      <c r="J294" s="7" t="n">
        <v>95</v>
      </c>
      <c r="K294" s="7" t="n">
        <v>158.12</v>
      </c>
      <c r="L294" s="7" t="n">
        <v>15021.86</v>
      </c>
      <c r="M294" s="7" t="inlineStr">
        <is>
          <t>Pending</t>
        </is>
      </c>
    </row>
    <row r="295">
      <c r="A295" s="7" t="inlineStr">
        <is>
          <t>PO-00595</t>
        </is>
      </c>
      <c r="B295" s="9" t="n">
        <v>45840</v>
      </c>
      <c r="C295" s="7" t="inlineStr">
        <is>
          <t>Purchase Order</t>
        </is>
      </c>
      <c r="D295" s="7" t="inlineStr">
        <is>
          <t>SUP003</t>
        </is>
      </c>
      <c r="E295" s="7" t="inlineStr">
        <is>
          <t>Northstar IT Services</t>
        </is>
      </c>
      <c r="F295" s="7" t="inlineStr">
        <is>
          <t>IT Services</t>
        </is>
      </c>
      <c r="G295" s="7" t="inlineStr">
        <is>
          <t>Software support</t>
        </is>
      </c>
      <c r="H295" s="7" t="inlineStr">
        <is>
          <t>Technology</t>
        </is>
      </c>
      <c r="I295" s="7" t="inlineStr">
        <is>
          <t>East</t>
        </is>
      </c>
      <c r="J295" s="7" t="n">
        <v>75</v>
      </c>
      <c r="K295" s="7" t="n">
        <v>151.49</v>
      </c>
      <c r="L295" s="7" t="n">
        <v>11361.85</v>
      </c>
      <c r="M295" s="7" t="inlineStr">
        <is>
          <t>Paid</t>
        </is>
      </c>
    </row>
    <row r="296">
      <c r="A296" s="7" t="inlineStr">
        <is>
          <t>PO-00282</t>
        </is>
      </c>
      <c r="B296" s="9" t="n">
        <v>45840</v>
      </c>
      <c r="C296" s="7" t="inlineStr">
        <is>
          <t>Goods Receipt</t>
        </is>
      </c>
      <c r="D296" s="7" t="inlineStr">
        <is>
          <t>SUP009</t>
        </is>
      </c>
      <c r="E296" s="7" t="inlineStr">
        <is>
          <t>Summit Consulting</t>
        </is>
      </c>
      <c r="F296" s="7" t="inlineStr">
        <is>
          <t>Professional Services</t>
        </is>
      </c>
      <c r="G296" s="7" t="inlineStr">
        <is>
          <t>Audit support</t>
        </is>
      </c>
      <c r="H296" s="7" t="inlineStr">
        <is>
          <t>Sales</t>
        </is>
      </c>
      <c r="I296" s="7" t="inlineStr">
        <is>
          <t>North</t>
        </is>
      </c>
      <c r="J296" s="7" t="n">
        <v>88</v>
      </c>
      <c r="K296" s="7" t="n">
        <v>151.48</v>
      </c>
      <c r="L296" s="7" t="n">
        <v>13330.45</v>
      </c>
      <c r="M296" s="7" t="inlineStr">
        <is>
          <t>Overdue</t>
        </is>
      </c>
    </row>
    <row r="297">
      <c r="A297" s="7" t="inlineStr">
        <is>
          <t>PO-00421</t>
        </is>
      </c>
      <c r="B297" s="9" t="n">
        <v>45841</v>
      </c>
      <c r="C297" s="7" t="inlineStr">
        <is>
          <t>Goods Receipt</t>
        </is>
      </c>
      <c r="D297" s="7" t="inlineStr">
        <is>
          <t>SUP009</t>
        </is>
      </c>
      <c r="E297" s="7" t="inlineStr">
        <is>
          <t>Summit Consulting</t>
        </is>
      </c>
      <c r="F297" s="7" t="inlineStr">
        <is>
          <t>Professional Services</t>
        </is>
      </c>
      <c r="G297" s="7" t="inlineStr">
        <is>
          <t>Business consulting</t>
        </is>
      </c>
      <c r="H297" s="7" t="inlineStr">
        <is>
          <t>Technology</t>
        </is>
      </c>
      <c r="I297" s="7" t="inlineStr">
        <is>
          <t>North</t>
        </is>
      </c>
      <c r="J297" s="7" t="n">
        <v>85</v>
      </c>
      <c r="K297" s="7" t="n">
        <v>63.19</v>
      </c>
      <c r="L297" s="7" t="n">
        <v>5370.91</v>
      </c>
      <c r="M297" s="7" t="inlineStr">
        <is>
          <t>Pending</t>
        </is>
      </c>
    </row>
    <row r="298">
      <c r="A298" s="7" t="inlineStr">
        <is>
          <t>PO-00432</t>
        </is>
      </c>
      <c r="B298" s="9" t="n">
        <v>45841</v>
      </c>
      <c r="C298" s="7" t="inlineStr">
        <is>
          <t>Invoice</t>
        </is>
      </c>
      <c r="D298" s="7" t="inlineStr">
        <is>
          <t>SUP004</t>
        </is>
      </c>
      <c r="E298" s="7" t="inlineStr">
        <is>
          <t>North Star IT Svc</t>
        </is>
      </c>
      <c r="F298" s="7" t="inlineStr">
        <is>
          <t>IT Services</t>
        </is>
      </c>
      <c r="G298" s="7" t="inlineStr">
        <is>
          <t>Software support</t>
        </is>
      </c>
      <c r="H298" s="7" t="inlineStr">
        <is>
          <t>Operations</t>
        </is>
      </c>
      <c r="I298" s="7" t="inlineStr">
        <is>
          <t>South</t>
        </is>
      </c>
      <c r="J298" s="7" t="n">
        <v>104</v>
      </c>
      <c r="K298" s="7" t="n">
        <v>267.02</v>
      </c>
      <c r="L298" s="7" t="n">
        <v>27769.96</v>
      </c>
      <c r="M298" s="7" t="inlineStr">
        <is>
          <t>Overdue</t>
        </is>
      </c>
    </row>
    <row r="299">
      <c r="A299" s="7" t="inlineStr">
        <is>
          <t>PO-00284</t>
        </is>
      </c>
      <c r="B299" s="9" t="n">
        <v>45842</v>
      </c>
      <c r="C299" s="7" t="inlineStr">
        <is>
          <t>Invoice</t>
        </is>
      </c>
      <c r="D299" s="7" t="inlineStr">
        <is>
          <t>SUP002</t>
        </is>
      </c>
      <c r="E299" s="7" t="inlineStr">
        <is>
          <t>Apex Office Supply Ltd</t>
        </is>
      </c>
      <c r="F299" s="7" t="inlineStr">
        <is>
          <t>Office Supplies</t>
        </is>
      </c>
      <c r="G299" s="7" t="inlineStr">
        <is>
          <t>Pens and stationery</t>
        </is>
      </c>
      <c r="H299" s="7" t="inlineStr">
        <is>
          <t>Corporate</t>
        </is>
      </c>
      <c r="I299" s="7" t="inlineStr">
        <is>
          <t>South</t>
        </is>
      </c>
      <c r="J299" s="7" t="n">
        <v>57</v>
      </c>
      <c r="K299" s="7" t="n">
        <v>297.9</v>
      </c>
      <c r="L299" s="7" t="n">
        <v>16980.13</v>
      </c>
      <c r="M299" s="7" t="inlineStr">
        <is>
          <t>Paid</t>
        </is>
      </c>
    </row>
    <row r="300">
      <c r="A300" s="7" t="inlineStr">
        <is>
          <t>PO-00409</t>
        </is>
      </c>
      <c r="B300" s="9" t="n">
        <v>45842</v>
      </c>
      <c r="C300" s="7" t="inlineStr">
        <is>
          <t>Goods Receipt</t>
        </is>
      </c>
      <c r="D300" s="7" t="inlineStr">
        <is>
          <t>SUP012</t>
        </is>
      </c>
      <c r="E300" s="7" t="inlineStr">
        <is>
          <t>Pioneer Hardware</t>
        </is>
      </c>
      <c r="F300" s="7" t="inlineStr">
        <is>
          <t>Maintenance</t>
        </is>
      </c>
      <c r="G300" s="7" t="inlineStr">
        <is>
          <t>Equipment servicing</t>
        </is>
      </c>
      <c r="H300" s="7" t="inlineStr">
        <is>
          <t>Corporate</t>
        </is>
      </c>
      <c r="I300" s="7" t="inlineStr">
        <is>
          <t>North</t>
        </is>
      </c>
      <c r="J300" s="7" t="n">
        <v>60</v>
      </c>
      <c r="K300" s="7" t="n">
        <v>111.77</v>
      </c>
      <c r="L300" s="7" t="n">
        <v>6706.13</v>
      </c>
      <c r="M300" s="7" t="inlineStr">
        <is>
          <t>Paid</t>
        </is>
      </c>
    </row>
    <row r="301">
      <c r="A301" s="7" t="inlineStr">
        <is>
          <t>PO-00215</t>
        </is>
      </c>
      <c r="B301" s="9" t="n">
        <v>45845</v>
      </c>
      <c r="C301" s="7" t="inlineStr">
        <is>
          <t>Goods Receipt</t>
        </is>
      </c>
      <c r="D301" s="7" t="inlineStr">
        <is>
          <t>SUP007</t>
        </is>
      </c>
      <c r="E301" s="7" t="inlineStr">
        <is>
          <t>BrightClean Facilities</t>
        </is>
      </c>
      <c r="F301" s="7" t="inlineStr">
        <is>
          <t>Facilities</t>
        </is>
      </c>
      <c r="G301" s="7" t="inlineStr">
        <is>
          <t>Cleaning services</t>
        </is>
      </c>
      <c r="H301" s="7" t="inlineStr">
        <is>
          <t>Technology</t>
        </is>
      </c>
      <c r="I301" s="7" t="inlineStr">
        <is>
          <t>East</t>
        </is>
      </c>
      <c r="J301" s="7" t="n">
        <v>73</v>
      </c>
      <c r="K301" s="7" t="n">
        <v>99.76000000000001</v>
      </c>
      <c r="L301" s="7" t="n">
        <v>7282.4</v>
      </c>
      <c r="M301" s="7" t="inlineStr">
        <is>
          <t>Paid</t>
        </is>
      </c>
    </row>
    <row r="302">
      <c r="A302" s="7" t="inlineStr">
        <is>
          <t>PO-00316</t>
        </is>
      </c>
      <c r="B302" s="9" t="n">
        <v>45845</v>
      </c>
      <c r="C302" s="7" t="inlineStr">
        <is>
          <t>Invoice</t>
        </is>
      </c>
      <c r="D302" s="7" t="inlineStr">
        <is>
          <t>SUP009</t>
        </is>
      </c>
      <c r="E302" s="7" t="inlineStr">
        <is>
          <t>Summit Consulting</t>
        </is>
      </c>
      <c r="F302" s="7" t="inlineStr">
        <is>
          <t>Professional Services</t>
        </is>
      </c>
      <c r="G302" s="7" t="inlineStr">
        <is>
          <t>Audit support</t>
        </is>
      </c>
      <c r="H302" s="7" t="inlineStr">
        <is>
          <t>Operations</t>
        </is>
      </c>
      <c r="I302" s="7" t="inlineStr">
        <is>
          <t>West</t>
        </is>
      </c>
      <c r="J302" s="7" t="n">
        <v>93</v>
      </c>
      <c r="K302" s="7" t="n">
        <v>15.79</v>
      </c>
      <c r="L302" s="7" t="n">
        <v>1468.79</v>
      </c>
      <c r="M302" s="7" t="inlineStr">
        <is>
          <t>Paid</t>
        </is>
      </c>
    </row>
    <row r="303">
      <c r="A303" s="7" t="inlineStr">
        <is>
          <t>PO-00353</t>
        </is>
      </c>
      <c r="B303" s="9" t="n">
        <v>45846</v>
      </c>
      <c r="C303" s="7" t="inlineStr">
        <is>
          <t>Purchase Order</t>
        </is>
      </c>
      <c r="D303" s="7" t="inlineStr">
        <is>
          <t>SUP010</t>
        </is>
      </c>
      <c r="E303" s="7" t="inlineStr">
        <is>
          <t>Urban Energy Solutions</t>
        </is>
      </c>
      <c r="F303" s="7" t="inlineStr">
        <is>
          <t>Utilities</t>
        </is>
      </c>
      <c r="G303" s="7" t="inlineStr">
        <is>
          <t>Natural gas</t>
        </is>
      </c>
      <c r="H303" s="7" t="inlineStr">
        <is>
          <t>Manufacturing</t>
        </is>
      </c>
      <c r="I303" s="7" t="inlineStr">
        <is>
          <t>South</t>
        </is>
      </c>
      <c r="J303" s="7" t="n">
        <v>100</v>
      </c>
      <c r="K303" s="7" t="n">
        <v>179.6</v>
      </c>
      <c r="L303" s="7" t="n">
        <v>17960.43</v>
      </c>
      <c r="M303" s="7" t="inlineStr">
        <is>
          <t>Paid</t>
        </is>
      </c>
    </row>
    <row r="304">
      <c r="A304" s="7" t="inlineStr">
        <is>
          <t>PO-00521</t>
        </is>
      </c>
      <c r="B304" s="9" t="n">
        <v>45847</v>
      </c>
      <c r="C304" s="7" t="inlineStr">
        <is>
          <t>Goods Receipt</t>
        </is>
      </c>
      <c r="D304" s="7" t="inlineStr">
        <is>
          <t>SUP009</t>
        </is>
      </c>
      <c r="E304" s="7" t="inlineStr">
        <is>
          <t>Summit Consulting</t>
        </is>
      </c>
      <c r="F304" s="7" t="inlineStr">
        <is>
          <t>Professional Services</t>
        </is>
      </c>
      <c r="G304" s="7" t="inlineStr">
        <is>
          <t>Training services</t>
        </is>
      </c>
      <c r="H304" s="7" t="inlineStr">
        <is>
          <t>Sales</t>
        </is>
      </c>
      <c r="I304" s="7" t="inlineStr">
        <is>
          <t>South</t>
        </is>
      </c>
      <c r="J304" s="7" t="n">
        <v>40</v>
      </c>
      <c r="K304" s="7" t="n">
        <v>197.95</v>
      </c>
      <c r="L304" s="7" t="n">
        <v>7917.83</v>
      </c>
      <c r="M304" s="7" t="inlineStr">
        <is>
          <t>Overdue</t>
        </is>
      </c>
    </row>
    <row r="305">
      <c r="A305" s="7" t="inlineStr">
        <is>
          <t>PO-00124</t>
        </is>
      </c>
      <c r="B305" s="9" t="n">
        <v>45848</v>
      </c>
      <c r="C305" s="7" t="inlineStr">
        <is>
          <t>Goods Receipt</t>
        </is>
      </c>
      <c r="D305" s="7" t="inlineStr">
        <is>
          <t>SUP002</t>
        </is>
      </c>
      <c r="E305" s="7" t="inlineStr">
        <is>
          <t>Apex Office Supply Ltd</t>
        </is>
      </c>
      <c r="F305" s="7" t="inlineStr">
        <is>
          <t>Office Supplies</t>
        </is>
      </c>
      <c r="G305" s="7" t="inlineStr">
        <is>
          <t>Pens and stationery</t>
        </is>
      </c>
      <c r="H305" s="7" t="inlineStr">
        <is>
          <t>Manufacturing</t>
        </is>
      </c>
      <c r="I305" s="7" t="inlineStr">
        <is>
          <t>South</t>
        </is>
      </c>
      <c r="J305" s="7" t="n">
        <v>80</v>
      </c>
      <c r="K305" s="7" t="n">
        <v>106.88</v>
      </c>
      <c r="L305" s="7" t="n">
        <v>8550.01</v>
      </c>
      <c r="M305" s="7" t="inlineStr">
        <is>
          <t>Overdue</t>
        </is>
      </c>
    </row>
    <row r="306">
      <c r="A306" s="7" t="inlineStr">
        <is>
          <t>PO-00329</t>
        </is>
      </c>
      <c r="B306" s="9" t="n">
        <v>45848</v>
      </c>
      <c r="C306" s="7" t="inlineStr">
        <is>
          <t>Goods Receipt</t>
        </is>
      </c>
      <c r="D306" s="7" t="inlineStr">
        <is>
          <t>SUP011</t>
        </is>
      </c>
      <c r="E306" s="7" t="inlineStr">
        <is>
          <t>Vertex Marketing</t>
        </is>
      </c>
      <c r="F306" s="7" t="inlineStr">
        <is>
          <t>Marketing</t>
        </is>
      </c>
      <c r="G306" s="7" t="inlineStr">
        <is>
          <t>Print advertising</t>
        </is>
      </c>
      <c r="H306" s="7" t="inlineStr">
        <is>
          <t>Operations</t>
        </is>
      </c>
      <c r="I306" s="7" t="inlineStr">
        <is>
          <t>West</t>
        </is>
      </c>
      <c r="J306" s="7" t="n">
        <v>51</v>
      </c>
      <c r="K306" s="7" t="n">
        <v>60.38</v>
      </c>
      <c r="L306" s="7" t="n">
        <v>3079.59</v>
      </c>
      <c r="M306" s="7" t="inlineStr">
        <is>
          <t>Overdue</t>
        </is>
      </c>
    </row>
    <row r="307">
      <c r="A307" s="7" t="inlineStr">
        <is>
          <t>PO-00410</t>
        </is>
      </c>
      <c r="B307" s="9" t="n">
        <v>45848</v>
      </c>
      <c r="C307" s="7" t="inlineStr">
        <is>
          <t>Invoice</t>
        </is>
      </c>
      <c r="D307" s="7" t="inlineStr">
        <is>
          <t>SUP008</t>
        </is>
      </c>
      <c r="E307" s="7" t="inlineStr">
        <is>
          <t>GreenLeaf Packaging</t>
        </is>
      </c>
      <c r="F307" s="7" t="inlineStr">
        <is>
          <t>Packaging</t>
        </is>
      </c>
      <c r="G307" s="7" t="inlineStr">
        <is>
          <t>Labels</t>
        </is>
      </c>
      <c r="H307" s="7" t="inlineStr">
        <is>
          <t>Manufacturing</t>
        </is>
      </c>
      <c r="I307" s="7" t="inlineStr">
        <is>
          <t>East</t>
        </is>
      </c>
      <c r="J307" s="7" t="n">
        <v>112</v>
      </c>
      <c r="K307" s="7" t="n">
        <v>29.42</v>
      </c>
      <c r="L307" s="7" t="n">
        <v>3295.2</v>
      </c>
      <c r="M307" s="7" t="inlineStr">
        <is>
          <t>Pending</t>
        </is>
      </c>
    </row>
    <row r="308">
      <c r="A308" s="7" t="inlineStr">
        <is>
          <t>PO-00538</t>
        </is>
      </c>
      <c r="B308" s="9" t="n">
        <v>45848</v>
      </c>
      <c r="C308" s="7" t="inlineStr">
        <is>
          <t>Goods Receipt</t>
        </is>
      </c>
      <c r="D308" s="7" t="inlineStr">
        <is>
          <t>SUP010</t>
        </is>
      </c>
      <c r="E308" s="7" t="inlineStr">
        <is>
          <t>Urban Energy Solutions</t>
        </is>
      </c>
      <c r="F308" s="7" t="inlineStr">
        <is>
          <t>Utilities</t>
        </is>
      </c>
      <c r="G308" s="7" t="inlineStr">
        <is>
          <t>Water services</t>
        </is>
      </c>
      <c r="H308" s="7" t="inlineStr">
        <is>
          <t>Sales</t>
        </is>
      </c>
      <c r="I308" s="7" t="inlineStr">
        <is>
          <t>South</t>
        </is>
      </c>
      <c r="J308" s="7" t="n">
        <v>113</v>
      </c>
      <c r="K308" s="7" t="n">
        <v>143.17</v>
      </c>
      <c r="L308" s="7" t="n">
        <v>16178.41</v>
      </c>
      <c r="M308" s="7" t="inlineStr">
        <is>
          <t>Overdue</t>
        </is>
      </c>
    </row>
    <row r="309">
      <c r="A309" s="7" t="inlineStr">
        <is>
          <t>PO-00194</t>
        </is>
      </c>
      <c r="B309" s="9" t="n">
        <v>45848</v>
      </c>
      <c r="C309" s="7" t="inlineStr">
        <is>
          <t>Invoice</t>
        </is>
      </c>
      <c r="D309" s="7" t="inlineStr">
        <is>
          <t>SUP008</t>
        </is>
      </c>
      <c r="E309" s="7" t="inlineStr">
        <is>
          <t>GreenLeaf Packaging</t>
        </is>
      </c>
      <c r="F309" s="7" t="inlineStr">
        <is>
          <t>Packaging</t>
        </is>
      </c>
      <c r="G309" s="7" t="inlineStr">
        <is>
          <t>Protective packaging</t>
        </is>
      </c>
      <c r="H309" s="7" t="inlineStr">
        <is>
          <t>Technology</t>
        </is>
      </c>
      <c r="I309" s="7" t="inlineStr">
        <is>
          <t>East</t>
        </is>
      </c>
      <c r="J309" s="7" t="n">
        <v>68</v>
      </c>
      <c r="K309" s="7" t="n">
        <v>152.67</v>
      </c>
      <c r="L309" s="7" t="n">
        <v>10381.72</v>
      </c>
      <c r="M309" s="7" t="inlineStr">
        <is>
          <t>Paid</t>
        </is>
      </c>
    </row>
    <row r="310">
      <c r="A310" s="7" t="inlineStr">
        <is>
          <t>PO-00407</t>
        </is>
      </c>
      <c r="B310" s="9" t="n">
        <v>45849</v>
      </c>
      <c r="C310" s="7" t="inlineStr">
        <is>
          <t>Goods Receipt</t>
        </is>
      </c>
      <c r="D310" s="7" t="inlineStr">
        <is>
          <t>SUP001</t>
        </is>
      </c>
      <c r="E310" s="7" t="inlineStr">
        <is>
          <t>Apex Office Supplies</t>
        </is>
      </c>
      <c r="F310" s="7" t="inlineStr">
        <is>
          <t>Office Supplies</t>
        </is>
      </c>
      <c r="G310" s="7" t="inlineStr">
        <is>
          <t>Toner cartridges</t>
        </is>
      </c>
      <c r="H310" s="7" t="inlineStr">
        <is>
          <t>Sales</t>
        </is>
      </c>
      <c r="I310" s="7" t="inlineStr">
        <is>
          <t>South</t>
        </is>
      </c>
      <c r="J310" s="7" t="n">
        <v>40</v>
      </c>
      <c r="K310" s="7" t="n">
        <v>74.06</v>
      </c>
      <c r="L310" s="7" t="n">
        <v>2962.43</v>
      </c>
      <c r="M310" s="7" t="inlineStr">
        <is>
          <t>Overdue</t>
        </is>
      </c>
    </row>
    <row r="311">
      <c r="A311" s="7" t="inlineStr">
        <is>
          <t>PO-00563</t>
        </is>
      </c>
      <c r="B311" s="9" t="n">
        <v>45849</v>
      </c>
      <c r="C311" s="7" t="inlineStr">
        <is>
          <t>Purchase Order</t>
        </is>
      </c>
      <c r="D311" s="7" t="inlineStr">
        <is>
          <t>SUP004</t>
        </is>
      </c>
      <c r="E311" s="7" t="inlineStr">
        <is>
          <t>North Star IT Svc</t>
        </is>
      </c>
      <c r="F311" s="7" t="inlineStr">
        <is>
          <t>IT Services</t>
        </is>
      </c>
      <c r="G311" s="7" t="inlineStr">
        <is>
          <t>Software support</t>
        </is>
      </c>
      <c r="H311" s="7" t="inlineStr">
        <is>
          <t>Sales</t>
        </is>
      </c>
      <c r="I311" s="7" t="inlineStr">
        <is>
          <t>West</t>
        </is>
      </c>
      <c r="J311" s="7" t="n">
        <v>51</v>
      </c>
      <c r="K311" s="7" t="n">
        <v>338.09</v>
      </c>
      <c r="L311" s="7" t="n">
        <v>17242.61</v>
      </c>
      <c r="M311" s="7" t="inlineStr">
        <is>
          <t>Paid</t>
        </is>
      </c>
    </row>
    <row r="312">
      <c r="A312" s="7" t="inlineStr">
        <is>
          <t>PO-00429</t>
        </is>
      </c>
      <c r="B312" s="9" t="n">
        <v>45849</v>
      </c>
      <c r="C312" s="7" t="inlineStr">
        <is>
          <t>Purchase Order</t>
        </is>
      </c>
      <c r="D312" s="7" t="inlineStr">
        <is>
          <t>SUP001</t>
        </is>
      </c>
      <c r="E312" s="7" t="inlineStr">
        <is>
          <t>Apex Office Supplies</t>
        </is>
      </c>
      <c r="F312" s="7" t="inlineStr">
        <is>
          <t>Office Supplies</t>
        </is>
      </c>
      <c r="G312" s="7" t="inlineStr">
        <is>
          <t>Printer paper</t>
        </is>
      </c>
      <c r="H312" s="7" t="inlineStr">
        <is>
          <t>Corporate</t>
        </is>
      </c>
      <c r="I312" s="7" t="inlineStr">
        <is>
          <t>South</t>
        </is>
      </c>
      <c r="J312" s="7" t="n">
        <v>68</v>
      </c>
      <c r="K312" s="7" t="n">
        <v>200.77</v>
      </c>
      <c r="L312" s="7" t="n">
        <v>13652.44</v>
      </c>
      <c r="M312" s="7" t="inlineStr">
        <is>
          <t>Paid</t>
        </is>
      </c>
    </row>
    <row r="313">
      <c r="A313" s="7" t="inlineStr">
        <is>
          <t>PO-00300</t>
        </is>
      </c>
      <c r="B313" s="9" t="n">
        <v>45849</v>
      </c>
      <c r="C313" s="7" t="inlineStr">
        <is>
          <t>Goods Receipt</t>
        </is>
      </c>
      <c r="D313" s="7" t="inlineStr">
        <is>
          <t>SUP007</t>
        </is>
      </c>
      <c r="E313" s="7" t="inlineStr">
        <is>
          <t>BrightClean Facilities</t>
        </is>
      </c>
      <c r="F313" s="7" t="inlineStr">
        <is>
          <t>Facilities</t>
        </is>
      </c>
      <c r="G313" s="7" t="inlineStr">
        <is>
          <t>Cleaning services</t>
        </is>
      </c>
      <c r="H313" s="7" t="inlineStr">
        <is>
          <t>Technology</t>
        </is>
      </c>
      <c r="I313" s="7" t="inlineStr">
        <is>
          <t>North</t>
        </is>
      </c>
      <c r="J313" s="7" t="n">
        <v>89</v>
      </c>
      <c r="K313" s="7" t="n">
        <v>137.87</v>
      </c>
      <c r="L313" s="7" t="n">
        <v>12270.45</v>
      </c>
      <c r="M313" s="7" t="inlineStr">
        <is>
          <t>Pending</t>
        </is>
      </c>
    </row>
    <row r="314">
      <c r="A314" s="7" t="inlineStr">
        <is>
          <t>PO-00355</t>
        </is>
      </c>
      <c r="B314" s="9" t="n">
        <v>45850</v>
      </c>
      <c r="C314" s="7" t="inlineStr">
        <is>
          <t>Purchase Order</t>
        </is>
      </c>
      <c r="D314" s="7" t="inlineStr">
        <is>
          <t>SUP012</t>
        </is>
      </c>
      <c r="E314" s="7" t="inlineStr">
        <is>
          <t>Pioneer Hardware</t>
        </is>
      </c>
      <c r="F314" s="7" t="inlineStr">
        <is>
          <t>Maintenance</t>
        </is>
      </c>
      <c r="G314" s="7" t="inlineStr">
        <is>
          <t>Equipment servicing</t>
        </is>
      </c>
      <c r="H314" s="7" t="inlineStr">
        <is>
          <t>Sales</t>
        </is>
      </c>
      <c r="I314" s="7" t="inlineStr">
        <is>
          <t>North</t>
        </is>
      </c>
      <c r="J314" s="7" t="n">
        <v>68</v>
      </c>
      <c r="K314" s="7" t="n">
        <v>29.1</v>
      </c>
      <c r="L314" s="7" t="n">
        <v>1978.61</v>
      </c>
      <c r="M314" s="7" t="inlineStr">
        <is>
          <t>Paid</t>
        </is>
      </c>
    </row>
    <row r="315">
      <c r="A315" s="7" t="inlineStr">
        <is>
          <t>PO-00513</t>
        </is>
      </c>
      <c r="B315" s="9" t="n">
        <v>45851</v>
      </c>
      <c r="C315" s="7" t="inlineStr">
        <is>
          <t>Goods Receipt</t>
        </is>
      </c>
      <c r="D315" s="7" t="inlineStr">
        <is>
          <t>SUP007</t>
        </is>
      </c>
      <c r="E315" s="7" t="inlineStr">
        <is>
          <t>BrightClean Facilities</t>
        </is>
      </c>
      <c r="F315" s="7" t="inlineStr">
        <is>
          <t>Facilities</t>
        </is>
      </c>
      <c r="G315" s="7" t="inlineStr">
        <is>
          <t>Security services</t>
        </is>
      </c>
      <c r="H315" s="7" t="inlineStr">
        <is>
          <t>Sales</t>
        </is>
      </c>
      <c r="I315" s="7" t="inlineStr">
        <is>
          <t>South</t>
        </is>
      </c>
      <c r="J315" s="7" t="n">
        <v>67</v>
      </c>
      <c r="K315" s="7" t="n">
        <v>6.21</v>
      </c>
      <c r="L315" s="7" t="n">
        <v>416.14</v>
      </c>
      <c r="M315" s="7" t="inlineStr">
        <is>
          <t>Overdue</t>
        </is>
      </c>
    </row>
    <row r="316">
      <c r="A316" s="7" t="inlineStr">
        <is>
          <t>PO-00261</t>
        </is>
      </c>
      <c r="B316" s="9" t="n">
        <v>45851</v>
      </c>
      <c r="C316" s="7" t="inlineStr">
        <is>
          <t>Purchase Order</t>
        </is>
      </c>
      <c r="D316" s="7" t="inlineStr">
        <is>
          <t>SUP011</t>
        </is>
      </c>
      <c r="E316" s="7" t="inlineStr">
        <is>
          <t>Vertex Marketing</t>
        </is>
      </c>
      <c r="F316" s="7" t="inlineStr">
        <is>
          <t>Marketing</t>
        </is>
      </c>
      <c r="G316" s="7" t="inlineStr">
        <is>
          <t>Promotional materials</t>
        </is>
      </c>
      <c r="H316" s="7" t="inlineStr">
        <is>
          <t>Manufacturing</t>
        </is>
      </c>
      <c r="I316" s="7" t="inlineStr">
        <is>
          <t>South</t>
        </is>
      </c>
      <c r="J316" s="7" t="n">
        <v>10</v>
      </c>
      <c r="K316" s="7" t="n">
        <v>82.70999999999999</v>
      </c>
      <c r="L316" s="7" t="n">
        <v>827.11</v>
      </c>
      <c r="M316" s="7" t="inlineStr">
        <is>
          <t>Pending</t>
        </is>
      </c>
    </row>
    <row r="317">
      <c r="A317" s="7" t="inlineStr">
        <is>
          <t>PO-00275</t>
        </is>
      </c>
      <c r="B317" s="9" t="n">
        <v>45852</v>
      </c>
      <c r="C317" s="7" t="inlineStr">
        <is>
          <t>Goods Receipt</t>
        </is>
      </c>
      <c r="D317" s="7" t="inlineStr">
        <is>
          <t>SUP007</t>
        </is>
      </c>
      <c r="E317" s="7" t="inlineStr">
        <is>
          <t>BrightClean Facilities</t>
        </is>
      </c>
      <c r="F317" s="7" t="inlineStr">
        <is>
          <t>Facilities</t>
        </is>
      </c>
      <c r="G317" s="7" t="inlineStr">
        <is>
          <t>Cleaning services</t>
        </is>
      </c>
      <c r="H317" s="7" t="inlineStr">
        <is>
          <t>Corporate</t>
        </is>
      </c>
      <c r="I317" s="7" t="inlineStr">
        <is>
          <t>West</t>
        </is>
      </c>
      <c r="J317" s="7" t="n">
        <v>2</v>
      </c>
      <c r="K317" s="7" t="n">
        <v>561.67</v>
      </c>
      <c r="L317" s="7" t="n">
        <v>1123.34</v>
      </c>
      <c r="M317" s="7" t="inlineStr">
        <is>
          <t>Pending</t>
        </is>
      </c>
    </row>
    <row r="318">
      <c r="A318" s="7" t="inlineStr">
        <is>
          <t>PO-00113</t>
        </is>
      </c>
      <c r="B318" s="9" t="n">
        <v>45853</v>
      </c>
      <c r="C318" s="7" t="inlineStr">
        <is>
          <t>Purchase Order</t>
        </is>
      </c>
      <c r="D318" s="7" t="inlineStr">
        <is>
          <t>SUP010</t>
        </is>
      </c>
      <c r="E318" s="7" t="inlineStr">
        <is>
          <t>Urban Energy Solutions</t>
        </is>
      </c>
      <c r="F318" s="7" t="inlineStr">
        <is>
          <t>Utilities</t>
        </is>
      </c>
      <c r="G318" s="7" t="inlineStr">
        <is>
          <t>Electricity</t>
        </is>
      </c>
      <c r="H318" s="7" t="inlineStr">
        <is>
          <t>Sales</t>
        </is>
      </c>
      <c r="I318" s="7" t="inlineStr">
        <is>
          <t>East</t>
        </is>
      </c>
      <c r="J318" s="7" t="n">
        <v>75</v>
      </c>
      <c r="K318" s="7" t="n">
        <v>120.24</v>
      </c>
      <c r="L318" s="7" t="n">
        <v>9018.290000000001</v>
      </c>
      <c r="M318" s="7" t="inlineStr">
        <is>
          <t>Pending</t>
        </is>
      </c>
    </row>
    <row r="319">
      <c r="A319" s="7" t="inlineStr">
        <is>
          <t>PO-00525</t>
        </is>
      </c>
      <c r="B319" s="9" t="n">
        <v>45854</v>
      </c>
      <c r="C319" s="7" t="inlineStr">
        <is>
          <t>Goods Receipt</t>
        </is>
      </c>
      <c r="D319" s="7" t="inlineStr">
        <is>
          <t>SUP007</t>
        </is>
      </c>
      <c r="E319" s="7" t="inlineStr">
        <is>
          <t>BrightClean Facilities</t>
        </is>
      </c>
      <c r="F319" s="7" t="inlineStr">
        <is>
          <t>Facilities</t>
        </is>
      </c>
      <c r="G319" s="7" t="inlineStr">
        <is>
          <t>Cleaning services</t>
        </is>
      </c>
      <c r="H319" s="7" t="inlineStr">
        <is>
          <t>Operations</t>
        </is>
      </c>
      <c r="I319" s="7" t="inlineStr">
        <is>
          <t>West</t>
        </is>
      </c>
      <c r="J319" s="7" t="n">
        <v>92</v>
      </c>
      <c r="K319" s="7" t="n">
        <v>102.56</v>
      </c>
      <c r="L319" s="7" t="n">
        <v>9435.58</v>
      </c>
      <c r="M319" s="7" t="inlineStr">
        <is>
          <t>Pending</t>
        </is>
      </c>
    </row>
    <row r="320">
      <c r="A320" s="7" t="inlineStr">
        <is>
          <t>PO-00313</t>
        </is>
      </c>
      <c r="B320" s="9" t="n">
        <v>45854</v>
      </c>
      <c r="C320" s="7" t="inlineStr">
        <is>
          <t>Invoice</t>
        </is>
      </c>
      <c r="D320" s="7" t="inlineStr">
        <is>
          <t>SUP009</t>
        </is>
      </c>
      <c r="E320" s="7" t="inlineStr">
        <is>
          <t>Summit Consulting</t>
        </is>
      </c>
      <c r="F320" s="7" t="inlineStr">
        <is>
          <t>Professional Services</t>
        </is>
      </c>
      <c r="G320" s="7" t="inlineStr">
        <is>
          <t>Training services</t>
        </is>
      </c>
      <c r="H320" s="7" t="inlineStr">
        <is>
          <t>Sales</t>
        </is>
      </c>
      <c r="I320" s="7" t="inlineStr">
        <is>
          <t>West</t>
        </is>
      </c>
      <c r="J320" s="7" t="n">
        <v>88</v>
      </c>
      <c r="K320" s="7" t="n">
        <v>173.29</v>
      </c>
      <c r="L320" s="7" t="n">
        <v>15249.1</v>
      </c>
      <c r="M320" s="7" t="inlineStr">
        <is>
          <t>Paid</t>
        </is>
      </c>
    </row>
    <row r="321">
      <c r="A321" s="7" t="inlineStr">
        <is>
          <t>PO-00216</t>
        </is>
      </c>
      <c r="B321" s="9" t="n">
        <v>45855</v>
      </c>
      <c r="C321" s="7" t="inlineStr">
        <is>
          <t>Goods Receipt</t>
        </is>
      </c>
      <c r="D321" s="7" t="inlineStr">
        <is>
          <t>SUP009</t>
        </is>
      </c>
      <c r="E321" s="7" t="inlineStr">
        <is>
          <t>Summit Consulting</t>
        </is>
      </c>
      <c r="F321" s="7" t="inlineStr">
        <is>
          <t>Professional Services</t>
        </is>
      </c>
      <c r="G321" s="7" t="inlineStr">
        <is>
          <t>Audit support</t>
        </is>
      </c>
      <c r="H321" s="7" t="inlineStr">
        <is>
          <t>Manufacturing</t>
        </is>
      </c>
      <c r="I321" s="7" t="inlineStr">
        <is>
          <t>North</t>
        </is>
      </c>
      <c r="J321" s="7" t="n">
        <v>106</v>
      </c>
      <c r="K321" s="7" t="n">
        <v>159.6</v>
      </c>
      <c r="L321" s="7" t="n">
        <v>16917.46</v>
      </c>
      <c r="M321" s="7" t="inlineStr">
        <is>
          <t>Paid</t>
        </is>
      </c>
    </row>
    <row r="322">
      <c r="A322" s="7" t="inlineStr">
        <is>
          <t>PO-00338</t>
        </is>
      </c>
      <c r="B322" s="9" t="n">
        <v>45855</v>
      </c>
      <c r="C322" s="7" t="inlineStr">
        <is>
          <t>Goods Receipt</t>
        </is>
      </c>
      <c r="D322" s="7" t="inlineStr">
        <is>
          <t>SUP002</t>
        </is>
      </c>
      <c r="E322" s="7" t="inlineStr">
        <is>
          <t>Apex Office Supply Ltd</t>
        </is>
      </c>
      <c r="F322" s="7" t="inlineStr">
        <is>
          <t>Office Supplies</t>
        </is>
      </c>
      <c r="G322" s="7" t="inlineStr">
        <is>
          <t>Printer paper</t>
        </is>
      </c>
      <c r="H322" s="7" t="inlineStr">
        <is>
          <t>Technology</t>
        </is>
      </c>
      <c r="I322" s="7" t="inlineStr">
        <is>
          <t>East</t>
        </is>
      </c>
      <c r="J322" s="7" t="n">
        <v>10</v>
      </c>
      <c r="K322" s="7" t="n">
        <v>1152.89</v>
      </c>
      <c r="L322" s="7" t="n">
        <v>11528.91</v>
      </c>
      <c r="M322" s="7" t="inlineStr">
        <is>
          <t>Paid</t>
        </is>
      </c>
    </row>
    <row r="323">
      <c r="A323" s="7" t="inlineStr">
        <is>
          <t>PO-00400</t>
        </is>
      </c>
      <c r="B323" s="9" t="n">
        <v>45856</v>
      </c>
      <c r="C323" s="7" t="inlineStr">
        <is>
          <t>Goods Receipt</t>
        </is>
      </c>
      <c r="D323" s="7" t="inlineStr">
        <is>
          <t>SUP009</t>
        </is>
      </c>
      <c r="E323" s="7" t="inlineStr">
        <is>
          <t>Summit Consulting</t>
        </is>
      </c>
      <c r="F323" s="7" t="inlineStr">
        <is>
          <t>Professional Services</t>
        </is>
      </c>
      <c r="G323" s="7" t="inlineStr">
        <is>
          <t>Training services</t>
        </is>
      </c>
      <c r="H323" s="7" t="inlineStr">
        <is>
          <t>Corporate</t>
        </is>
      </c>
      <c r="I323" s="7" t="inlineStr">
        <is>
          <t>West</t>
        </is>
      </c>
      <c r="J323" s="7" t="n">
        <v>36</v>
      </c>
      <c r="K323" s="7" t="n">
        <v>281.03</v>
      </c>
      <c r="L323" s="7" t="n">
        <v>10116.95</v>
      </c>
      <c r="M323" s="7" t="inlineStr">
        <is>
          <t>Paid</t>
        </is>
      </c>
    </row>
    <row r="324">
      <c r="A324" s="7" t="inlineStr">
        <is>
          <t>PO-00308</t>
        </is>
      </c>
      <c r="B324" s="9" t="n">
        <v>45856</v>
      </c>
      <c r="C324" s="7" t="inlineStr">
        <is>
          <t>Invoice</t>
        </is>
      </c>
      <c r="D324" s="7" t="inlineStr">
        <is>
          <t>SUP010</t>
        </is>
      </c>
      <c r="E324" s="7" t="inlineStr"/>
      <c r="F324" s="7" t="inlineStr">
        <is>
          <t>Utilities</t>
        </is>
      </c>
      <c r="G324" s="7" t="inlineStr">
        <is>
          <t>Natural gas</t>
        </is>
      </c>
      <c r="H324" s="7" t="inlineStr">
        <is>
          <t>Operations</t>
        </is>
      </c>
      <c r="I324" s="7" t="inlineStr">
        <is>
          <t>East</t>
        </is>
      </c>
      <c r="J324" s="7" t="n">
        <v>46</v>
      </c>
      <c r="K324" s="7" t="n">
        <v>47.01</v>
      </c>
      <c r="L324" s="7" t="n">
        <v>2162.47</v>
      </c>
      <c r="M324" s="7" t="inlineStr">
        <is>
          <t>Overdue</t>
        </is>
      </c>
    </row>
    <row r="325">
      <c r="A325" s="7" t="inlineStr">
        <is>
          <t>PO-00164</t>
        </is>
      </c>
      <c r="B325" s="9" t="n">
        <v>45856</v>
      </c>
      <c r="C325" s="7" t="inlineStr">
        <is>
          <t>Goods Receipt</t>
        </is>
      </c>
      <c r="D325" s="7" t="inlineStr">
        <is>
          <t>SUP007</t>
        </is>
      </c>
      <c r="E325" s="7" t="inlineStr">
        <is>
          <t>BrightClean Facilities</t>
        </is>
      </c>
      <c r="F325" s="7" t="inlineStr">
        <is>
          <t>Facilities</t>
        </is>
      </c>
      <c r="G325" s="7" t="inlineStr">
        <is>
          <t>Security services</t>
        </is>
      </c>
      <c r="H325" s="7" t="inlineStr">
        <is>
          <t>Technology</t>
        </is>
      </c>
      <c r="I325" s="7" t="inlineStr">
        <is>
          <t>North</t>
        </is>
      </c>
      <c r="J325" s="7" t="n">
        <v>7</v>
      </c>
      <c r="K325" s="7" t="n">
        <v>1751.24</v>
      </c>
      <c r="L325" s="7" t="n">
        <v>12258.69</v>
      </c>
      <c r="M325" s="7" t="inlineStr">
        <is>
          <t>Pending</t>
        </is>
      </c>
    </row>
    <row r="326">
      <c r="A326" s="7" t="inlineStr">
        <is>
          <t>PO-00339</t>
        </is>
      </c>
      <c r="B326" s="9" t="n">
        <v>45856</v>
      </c>
      <c r="C326" s="7" t="inlineStr">
        <is>
          <t>Invoice</t>
        </is>
      </c>
      <c r="D326" s="7" t="inlineStr">
        <is>
          <t>SUP010</t>
        </is>
      </c>
      <c r="E326" s="7" t="inlineStr">
        <is>
          <t>Urban Energy Solutions</t>
        </is>
      </c>
      <c r="F326" s="7" t="inlineStr">
        <is>
          <t>Utilities</t>
        </is>
      </c>
      <c r="G326" s="7" t="inlineStr">
        <is>
          <t>Electricity</t>
        </is>
      </c>
      <c r="H326" s="7" t="inlineStr">
        <is>
          <t>Corporate</t>
        </is>
      </c>
      <c r="I326" s="7" t="inlineStr">
        <is>
          <t>North</t>
        </is>
      </c>
      <c r="J326" s="7" t="n">
        <v>23</v>
      </c>
      <c r="K326" s="7" t="n">
        <v>429.95</v>
      </c>
      <c r="L326" s="7" t="n">
        <v>9888.85</v>
      </c>
      <c r="M326" s="7" t="inlineStr">
        <is>
          <t>Paid</t>
        </is>
      </c>
    </row>
    <row r="327">
      <c r="A327" s="7" t="inlineStr">
        <is>
          <t>PO-00183</t>
        </is>
      </c>
      <c r="B327" s="9" t="n">
        <v>45856</v>
      </c>
      <c r="C327" s="7" t="inlineStr">
        <is>
          <t>Purchase Order</t>
        </is>
      </c>
      <c r="D327" s="7" t="inlineStr">
        <is>
          <t>SUP006</t>
        </is>
      </c>
      <c r="E327" s="7" t="inlineStr">
        <is>
          <t>Metro Logistics Pvt Ltd</t>
        </is>
      </c>
      <c r="F327" s="7" t="inlineStr">
        <is>
          <t>Logistics</t>
        </is>
      </c>
      <c r="G327" s="7" t="inlineStr">
        <is>
          <t>Courier services</t>
        </is>
      </c>
      <c r="H327" s="7" t="inlineStr">
        <is>
          <t>Operations</t>
        </is>
      </c>
      <c r="I327" s="7" t="inlineStr">
        <is>
          <t>North</t>
        </is>
      </c>
      <c r="J327" s="7" t="n">
        <v>101</v>
      </c>
      <c r="K327" s="7" t="n">
        <v>6.91</v>
      </c>
      <c r="L327" s="7" t="n">
        <v>697.7</v>
      </c>
      <c r="M327" s="7" t="inlineStr">
        <is>
          <t>Overdue</t>
        </is>
      </c>
    </row>
    <row r="328">
      <c r="A328" s="7" t="inlineStr">
        <is>
          <t>PO-00028</t>
        </is>
      </c>
      <c r="B328" s="9" t="n">
        <v>45857</v>
      </c>
      <c r="C328" s="7" t="inlineStr">
        <is>
          <t>Invoice</t>
        </is>
      </c>
      <c r="D328" s="7" t="inlineStr">
        <is>
          <t>SUP005</t>
        </is>
      </c>
      <c r="E328" s="7" t="inlineStr">
        <is>
          <t>Metro Logistics</t>
        </is>
      </c>
      <c r="F328" s="7" t="inlineStr">
        <is>
          <t>Logistics</t>
        </is>
      </c>
      <c r="G328" s="7" t="inlineStr">
        <is>
          <t>Warehouse handling</t>
        </is>
      </c>
      <c r="H328" s="7" t="inlineStr">
        <is>
          <t>Manufacturing</t>
        </is>
      </c>
      <c r="I328" s="7" t="inlineStr">
        <is>
          <t>West</t>
        </is>
      </c>
      <c r="J328" s="7" t="n">
        <v>37</v>
      </c>
      <c r="K328" s="7" t="n">
        <v>650.51</v>
      </c>
      <c r="L328" s="7" t="n">
        <v>24068.79</v>
      </c>
      <c r="M328" s="7" t="inlineStr">
        <is>
          <t>Paid</t>
        </is>
      </c>
    </row>
    <row r="329">
      <c r="A329" s="7" t="inlineStr">
        <is>
          <t>PO-00033</t>
        </is>
      </c>
      <c r="B329" s="9" t="n">
        <v>45860</v>
      </c>
      <c r="C329" s="7" t="inlineStr">
        <is>
          <t>Purchase Order</t>
        </is>
      </c>
      <c r="D329" s="7" t="inlineStr">
        <is>
          <t>SUP003</t>
        </is>
      </c>
      <c r="E329" s="7" t="inlineStr">
        <is>
          <t>Northstar IT Services</t>
        </is>
      </c>
      <c r="F329" s="7" t="inlineStr">
        <is>
          <t>IT Services</t>
        </is>
      </c>
      <c r="G329" s="7" t="inlineStr">
        <is>
          <t>Software support</t>
        </is>
      </c>
      <c r="H329" s="7" t="inlineStr">
        <is>
          <t>Sales</t>
        </is>
      </c>
      <c r="I329" s="7" t="inlineStr">
        <is>
          <t>North</t>
        </is>
      </c>
      <c r="J329" s="7" t="n">
        <v>41</v>
      </c>
      <c r="K329" s="7" t="n">
        <v>227.38</v>
      </c>
      <c r="L329" s="7" t="n">
        <v>9322.709999999999</v>
      </c>
      <c r="M329" s="7" t="inlineStr">
        <is>
          <t>Paid</t>
        </is>
      </c>
    </row>
    <row r="330">
      <c r="A330" s="7" t="inlineStr">
        <is>
          <t>PO-00528</t>
        </is>
      </c>
      <c r="B330" s="9" t="n">
        <v>45860</v>
      </c>
      <c r="C330" s="7" t="inlineStr">
        <is>
          <t>Goods Receipt</t>
        </is>
      </c>
      <c r="D330" s="7" t="inlineStr">
        <is>
          <t>SUP007</t>
        </is>
      </c>
      <c r="E330" s="7" t="inlineStr">
        <is>
          <t>BrightClean Facilities</t>
        </is>
      </c>
      <c r="F330" s="7" t="inlineStr">
        <is>
          <t>Facilities</t>
        </is>
      </c>
      <c r="G330" s="7" t="inlineStr">
        <is>
          <t>Cleaning services</t>
        </is>
      </c>
      <c r="H330" s="7" t="inlineStr">
        <is>
          <t>Corporate</t>
        </is>
      </c>
      <c r="I330" s="7" t="inlineStr">
        <is>
          <t>East</t>
        </is>
      </c>
      <c r="J330" s="7" t="n">
        <v>95</v>
      </c>
      <c r="K330" s="7" t="n">
        <v>98.70999999999999</v>
      </c>
      <c r="L330" s="7" t="n">
        <v>9377.24</v>
      </c>
      <c r="M330" s="7" t="inlineStr">
        <is>
          <t>Overdue</t>
        </is>
      </c>
    </row>
    <row r="331">
      <c r="A331" s="7" t="inlineStr">
        <is>
          <t>PO-00153</t>
        </is>
      </c>
      <c r="B331" s="9" t="n">
        <v>45861</v>
      </c>
      <c r="C331" s="7" t="inlineStr">
        <is>
          <t>Invoice</t>
        </is>
      </c>
      <c r="D331" s="7" t="inlineStr">
        <is>
          <t>SUP012</t>
        </is>
      </c>
      <c r="E331" s="7" t="inlineStr">
        <is>
          <t>Pioneer Hardware</t>
        </is>
      </c>
      <c r="F331" s="7" t="inlineStr">
        <is>
          <t>Office Supplies</t>
        </is>
      </c>
      <c r="G331" s="7" t="inlineStr">
        <is>
          <t>Toner cartridges</t>
        </is>
      </c>
      <c r="H331" s="7" t="inlineStr">
        <is>
          <t>Sales</t>
        </is>
      </c>
      <c r="I331" s="7" t="inlineStr">
        <is>
          <t>West</t>
        </is>
      </c>
      <c r="J331" s="7" t="n">
        <v>10</v>
      </c>
      <c r="K331" s="7" t="n">
        <v>834.04</v>
      </c>
      <c r="L331" s="7" t="n">
        <v>8340.41</v>
      </c>
      <c r="M331" s="7" t="inlineStr">
        <is>
          <t>Overdue</t>
        </is>
      </c>
    </row>
    <row r="332">
      <c r="A332" s="7" t="inlineStr">
        <is>
          <t>PO-00462</t>
        </is>
      </c>
      <c r="B332" s="9" t="n">
        <v>45861</v>
      </c>
      <c r="C332" s="7" t="inlineStr">
        <is>
          <t>Purchase Order</t>
        </is>
      </c>
      <c r="D332" s="7" t="inlineStr">
        <is>
          <t>SUP006</t>
        </is>
      </c>
      <c r="E332" s="7" t="inlineStr">
        <is>
          <t>Metro Logistics Pvt Ltd</t>
        </is>
      </c>
      <c r="F332" s="7" t="inlineStr">
        <is>
          <t>Logistics</t>
        </is>
      </c>
      <c r="G332" s="7" t="inlineStr">
        <is>
          <t>Courier services</t>
        </is>
      </c>
      <c r="H332" s="7" t="inlineStr">
        <is>
          <t>Manufacturing</t>
        </is>
      </c>
      <c r="I332" s="7" t="inlineStr">
        <is>
          <t>East</t>
        </is>
      </c>
      <c r="J332" s="7" t="n">
        <v>18</v>
      </c>
      <c r="K332" s="7" t="n">
        <v>776.04</v>
      </c>
      <c r="L332" s="7" t="n">
        <v>13968.7</v>
      </c>
      <c r="M332" s="7" t="inlineStr">
        <is>
          <t>Overdue</t>
        </is>
      </c>
    </row>
    <row r="333">
      <c r="A333" s="7" t="inlineStr">
        <is>
          <t>PO-00325</t>
        </is>
      </c>
      <c r="B333" s="9" t="n">
        <v>45861</v>
      </c>
      <c r="C333" s="7" t="inlineStr">
        <is>
          <t>Invoice</t>
        </is>
      </c>
      <c r="D333" s="7" t="inlineStr">
        <is>
          <t>SUP004</t>
        </is>
      </c>
      <c r="E333" s="7" t="inlineStr">
        <is>
          <t>North Star IT Svc</t>
        </is>
      </c>
      <c r="F333" s="7" t="inlineStr">
        <is>
          <t>IT Services</t>
        </is>
      </c>
      <c r="G333" s="7" t="inlineStr">
        <is>
          <t>Cloud services</t>
        </is>
      </c>
      <c r="H333" s="7" t="inlineStr">
        <is>
          <t>Technology</t>
        </is>
      </c>
      <c r="I333" s="7" t="inlineStr">
        <is>
          <t>East</t>
        </is>
      </c>
      <c r="J333" s="7" t="n">
        <v>64</v>
      </c>
      <c r="K333" s="7" t="n">
        <v>394.94</v>
      </c>
      <c r="L333" s="7" t="n">
        <v>25276.07</v>
      </c>
      <c r="M333" s="7" t="inlineStr">
        <is>
          <t>Overdue</t>
        </is>
      </c>
    </row>
    <row r="334">
      <c r="A334" s="7" t="inlineStr">
        <is>
          <t>PO-00296</t>
        </is>
      </c>
      <c r="B334" s="9" t="n">
        <v>45863</v>
      </c>
      <c r="C334" s="7" t="inlineStr">
        <is>
          <t>Invoice</t>
        </is>
      </c>
      <c r="D334" s="7" t="inlineStr">
        <is>
          <t>SUP009</t>
        </is>
      </c>
      <c r="E334" s="7" t="inlineStr">
        <is>
          <t>Summit Consulting</t>
        </is>
      </c>
      <c r="F334" s="7" t="inlineStr">
        <is>
          <t>Professional Services</t>
        </is>
      </c>
      <c r="G334" s="7" t="inlineStr">
        <is>
          <t>Audit support</t>
        </is>
      </c>
      <c r="H334" s="7" t="inlineStr">
        <is>
          <t>Corporate</t>
        </is>
      </c>
      <c r="I334" s="7" t="inlineStr">
        <is>
          <t>East</t>
        </is>
      </c>
      <c r="J334" s="7" t="n">
        <v>89</v>
      </c>
      <c r="K334" s="7" t="n">
        <v>316.63</v>
      </c>
      <c r="L334" s="7" t="n">
        <v>28180.24</v>
      </c>
      <c r="M334" s="7" t="inlineStr">
        <is>
          <t>Overdue</t>
        </is>
      </c>
    </row>
    <row r="335">
      <c r="A335" s="7" t="inlineStr">
        <is>
          <t>PO-00097</t>
        </is>
      </c>
      <c r="B335" s="9" t="n">
        <v>45864</v>
      </c>
      <c r="C335" s="7" t="inlineStr">
        <is>
          <t>Goods Receipt</t>
        </is>
      </c>
      <c r="D335" s="7" t="inlineStr">
        <is>
          <t>SUP009</t>
        </is>
      </c>
      <c r="E335" s="7" t="inlineStr">
        <is>
          <t>Summit Consulting</t>
        </is>
      </c>
      <c r="F335" s="7" t="inlineStr">
        <is>
          <t>Professional Services</t>
        </is>
      </c>
      <c r="G335" s="7" t="inlineStr">
        <is>
          <t>Training services</t>
        </is>
      </c>
      <c r="H335" s="7" t="inlineStr">
        <is>
          <t>Sales</t>
        </is>
      </c>
      <c r="I335" s="7" t="inlineStr">
        <is>
          <t>North</t>
        </is>
      </c>
      <c r="J335" s="7" t="n">
        <v>112</v>
      </c>
      <c r="K335" s="7" t="n">
        <v>2.13</v>
      </c>
      <c r="L335" s="7" t="n">
        <v>238.99</v>
      </c>
      <c r="M335" s="7" t="inlineStr">
        <is>
          <t>Paid</t>
        </is>
      </c>
    </row>
    <row r="336">
      <c r="A336" s="7" t="inlineStr">
        <is>
          <t>PO-00208</t>
        </is>
      </c>
      <c r="B336" s="9" t="n">
        <v>45865</v>
      </c>
      <c r="C336" s="7" t="inlineStr">
        <is>
          <t>Invoice</t>
        </is>
      </c>
      <c r="D336" s="7" t="inlineStr">
        <is>
          <t>SUP005</t>
        </is>
      </c>
      <c r="E336" s="7" t="inlineStr">
        <is>
          <t>Metro Logistics</t>
        </is>
      </c>
      <c r="F336" s="7" t="inlineStr">
        <is>
          <t>Logistics</t>
        </is>
      </c>
      <c r="G336" s="7" t="inlineStr">
        <is>
          <t>Courier services</t>
        </is>
      </c>
      <c r="H336" s="7" t="inlineStr">
        <is>
          <t>Sales</t>
        </is>
      </c>
      <c r="I336" s="7" t="inlineStr">
        <is>
          <t>West</t>
        </is>
      </c>
      <c r="J336" s="7" t="n">
        <v>21</v>
      </c>
      <c r="K336" s="7" t="n">
        <v>1006.43</v>
      </c>
      <c r="L336" s="7" t="n">
        <v>21135.1</v>
      </c>
      <c r="M336" s="7" t="inlineStr">
        <is>
          <t>Paid</t>
        </is>
      </c>
    </row>
    <row r="337">
      <c r="A337" s="7" t="inlineStr">
        <is>
          <t>PO-00483</t>
        </is>
      </c>
      <c r="B337" s="9" t="n">
        <v>45866</v>
      </c>
      <c r="C337" s="7" t="inlineStr">
        <is>
          <t>Purchase Order</t>
        </is>
      </c>
      <c r="D337" s="7" t="inlineStr">
        <is>
          <t>SUP007</t>
        </is>
      </c>
      <c r="E337" s="7" t="inlineStr">
        <is>
          <t>BrightClean Facilities</t>
        </is>
      </c>
      <c r="F337" s="7" t="inlineStr">
        <is>
          <t>Facilities</t>
        </is>
      </c>
      <c r="G337" s="7" t="inlineStr">
        <is>
          <t>Facility maintenance</t>
        </is>
      </c>
      <c r="H337" s="7" t="inlineStr">
        <is>
          <t>Corporate</t>
        </is>
      </c>
      <c r="I337" s="7" t="inlineStr">
        <is>
          <t>North</t>
        </is>
      </c>
      <c r="J337" s="7" t="n">
        <v>41</v>
      </c>
      <c r="K337" s="7" t="n">
        <v>179.31</v>
      </c>
      <c r="L337" s="7" t="n">
        <v>7351.53</v>
      </c>
      <c r="M337" s="7" t="inlineStr">
        <is>
          <t>Overdue</t>
        </is>
      </c>
    </row>
    <row r="338">
      <c r="A338" s="7" t="inlineStr">
        <is>
          <t>PO-00457</t>
        </is>
      </c>
      <c r="B338" s="9" t="n">
        <v>45867</v>
      </c>
      <c r="C338" s="7" t="inlineStr">
        <is>
          <t>Invoice</t>
        </is>
      </c>
      <c r="D338" s="7" t="inlineStr">
        <is>
          <t>SUP002</t>
        </is>
      </c>
      <c r="E338" s="7" t="inlineStr">
        <is>
          <t>Apex Office Supply Ltd</t>
        </is>
      </c>
      <c r="F338" s="7" t="inlineStr">
        <is>
          <t>Office Supplies</t>
        </is>
      </c>
      <c r="G338" s="7" t="inlineStr">
        <is>
          <t>Printer paper</t>
        </is>
      </c>
      <c r="H338" s="7" t="inlineStr">
        <is>
          <t>Sales</t>
        </is>
      </c>
      <c r="I338" s="7" t="inlineStr">
        <is>
          <t>South</t>
        </is>
      </c>
      <c r="J338" s="7" t="n">
        <v>16</v>
      </c>
      <c r="K338" s="7" t="n">
        <v>226.44</v>
      </c>
      <c r="L338" s="7" t="n">
        <v>3623.08</v>
      </c>
      <c r="M338" s="7" t="inlineStr">
        <is>
          <t>Overdue</t>
        </is>
      </c>
    </row>
    <row r="339">
      <c r="A339" s="7" t="inlineStr">
        <is>
          <t>PO-00049</t>
        </is>
      </c>
      <c r="B339" s="9" t="n">
        <v>45867</v>
      </c>
      <c r="C339" s="7" t="inlineStr">
        <is>
          <t>Purchase Order</t>
        </is>
      </c>
      <c r="D339" s="7" t="inlineStr">
        <is>
          <t>SUP006</t>
        </is>
      </c>
      <c r="E339" s="7" t="inlineStr">
        <is>
          <t>Metro Logistics Pvt Ltd</t>
        </is>
      </c>
      <c r="F339" s="7" t="inlineStr">
        <is>
          <t>Logistics</t>
        </is>
      </c>
      <c r="G339" s="7" t="inlineStr">
        <is>
          <t>Courier services</t>
        </is>
      </c>
      <c r="H339" s="7" t="inlineStr">
        <is>
          <t>Sales</t>
        </is>
      </c>
      <c r="I339" s="7" t="inlineStr">
        <is>
          <t>South</t>
        </is>
      </c>
      <c r="J339" s="7" t="n">
        <v>17</v>
      </c>
      <c r="K339" s="7" t="n">
        <v>540.63</v>
      </c>
      <c r="L339" s="7" t="n">
        <v>9190.74</v>
      </c>
      <c r="M339" s="7" t="inlineStr">
        <is>
          <t>Overdue</t>
        </is>
      </c>
    </row>
    <row r="340">
      <c r="A340" s="7" t="inlineStr">
        <is>
          <t>PO-00453</t>
        </is>
      </c>
      <c r="B340" s="9" t="n">
        <v>45869</v>
      </c>
      <c r="C340" s="7" t="inlineStr">
        <is>
          <t>Goods Receipt</t>
        </is>
      </c>
      <c r="D340" s="7" t="inlineStr">
        <is>
          <t>SUP001</t>
        </is>
      </c>
      <c r="E340" s="7" t="inlineStr">
        <is>
          <t>Apex Office Supplies</t>
        </is>
      </c>
      <c r="F340" s="7" t="inlineStr">
        <is>
          <t>Office Supplies</t>
        </is>
      </c>
      <c r="G340" s="7" t="inlineStr">
        <is>
          <t>Toner cartridges</t>
        </is>
      </c>
      <c r="H340" s="7" t="inlineStr">
        <is>
          <t>Technology</t>
        </is>
      </c>
      <c r="I340" s="7" t="inlineStr">
        <is>
          <t>South</t>
        </is>
      </c>
      <c r="J340" s="7" t="n">
        <v>12</v>
      </c>
      <c r="K340" s="7" t="n">
        <v>10.25</v>
      </c>
      <c r="L340" s="7" t="n">
        <v>123.03</v>
      </c>
      <c r="M340" s="7" t="inlineStr">
        <is>
          <t>Overdue</t>
        </is>
      </c>
    </row>
    <row r="341">
      <c r="A341" s="7" t="inlineStr">
        <is>
          <t>PO-00401</t>
        </is>
      </c>
      <c r="B341" s="9" t="n">
        <v>45870</v>
      </c>
      <c r="C341" s="7" t="inlineStr">
        <is>
          <t>Purchase Order</t>
        </is>
      </c>
      <c r="D341" s="7" t="inlineStr">
        <is>
          <t>SUP003</t>
        </is>
      </c>
      <c r="E341" s="7" t="inlineStr">
        <is>
          <t>Northstar IT Services</t>
        </is>
      </c>
      <c r="F341" s="7" t="inlineStr">
        <is>
          <t>IT Services</t>
        </is>
      </c>
      <c r="G341" s="7" t="inlineStr">
        <is>
          <t>Software support</t>
        </is>
      </c>
      <c r="H341" s="7" t="inlineStr">
        <is>
          <t>Manufacturing</t>
        </is>
      </c>
      <c r="I341" s="7" t="inlineStr">
        <is>
          <t>North</t>
        </is>
      </c>
      <c r="J341" s="7" t="n">
        <v>98</v>
      </c>
      <c r="K341" s="7" t="n">
        <v>184.44</v>
      </c>
      <c r="L341" s="7" t="n">
        <v>18074.85</v>
      </c>
      <c r="M341" s="7" t="inlineStr">
        <is>
          <t>Pending</t>
        </is>
      </c>
    </row>
    <row r="342">
      <c r="A342" s="7" t="inlineStr">
        <is>
          <t>PO-00147</t>
        </is>
      </c>
      <c r="B342" s="9" t="n">
        <v>45872</v>
      </c>
      <c r="C342" s="7" t="inlineStr">
        <is>
          <t>Invoice</t>
        </is>
      </c>
      <c r="D342" s="7" t="inlineStr">
        <is>
          <t>SUP008</t>
        </is>
      </c>
      <c r="E342" s="7" t="inlineStr">
        <is>
          <t>GreenLeaf Packaging</t>
        </is>
      </c>
      <c r="F342" s="7" t="inlineStr">
        <is>
          <t>Packaging</t>
        </is>
      </c>
      <c r="G342" s="7" t="inlineStr">
        <is>
          <t>Labels</t>
        </is>
      </c>
      <c r="H342" s="7" t="inlineStr">
        <is>
          <t>Manufacturing</t>
        </is>
      </c>
      <c r="I342" s="7" t="inlineStr">
        <is>
          <t>North</t>
        </is>
      </c>
      <c r="J342" s="7" t="n">
        <v>93</v>
      </c>
      <c r="K342" s="7" t="n">
        <v>72.44</v>
      </c>
      <c r="L342" s="7" t="n">
        <v>6736.55</v>
      </c>
      <c r="M342" s="7" t="inlineStr">
        <is>
          <t>Paid</t>
        </is>
      </c>
    </row>
    <row r="343">
      <c r="A343" s="7" t="inlineStr">
        <is>
          <t>PO-00002</t>
        </is>
      </c>
      <c r="B343" s="9" t="n">
        <v>45874</v>
      </c>
      <c r="C343" s="7" t="inlineStr">
        <is>
          <t>Purchase Order</t>
        </is>
      </c>
      <c r="D343" s="7" t="inlineStr">
        <is>
          <t>SUP001</t>
        </is>
      </c>
      <c r="E343" s="7" t="inlineStr">
        <is>
          <t>Apex Office Supplies</t>
        </is>
      </c>
      <c r="F343" s="7" t="inlineStr">
        <is>
          <t>Facilities</t>
        </is>
      </c>
      <c r="G343" s="7" t="inlineStr">
        <is>
          <t>Security services</t>
        </is>
      </c>
      <c r="H343" s="7" t="inlineStr">
        <is>
          <t>Operations</t>
        </is>
      </c>
      <c r="I343" s="7" t="inlineStr">
        <is>
          <t>West</t>
        </is>
      </c>
      <c r="J343" s="7" t="n">
        <v>78</v>
      </c>
      <c r="K343" s="7" t="n">
        <v>54.87</v>
      </c>
      <c r="L343" s="7" t="n">
        <v>4279.98</v>
      </c>
      <c r="M343" s="7" t="inlineStr">
        <is>
          <t>Paid</t>
        </is>
      </c>
    </row>
    <row r="344">
      <c r="A344" s="7" t="inlineStr">
        <is>
          <t>PO-00306</t>
        </is>
      </c>
      <c r="B344" s="9" t="n">
        <v>45877</v>
      </c>
      <c r="C344" s="7" t="inlineStr">
        <is>
          <t>Goods Receipt</t>
        </is>
      </c>
      <c r="D344" s="7" t="inlineStr">
        <is>
          <t>SUP007</t>
        </is>
      </c>
      <c r="E344" s="7" t="inlineStr">
        <is>
          <t>BrightClean Facilities</t>
        </is>
      </c>
      <c r="F344" s="7" t="inlineStr">
        <is>
          <t>Facilities</t>
        </is>
      </c>
      <c r="G344" s="7" t="inlineStr">
        <is>
          <t>Cleaning services</t>
        </is>
      </c>
      <c r="H344" s="7" t="inlineStr">
        <is>
          <t>Manufacturing</t>
        </is>
      </c>
      <c r="I344" s="7" t="inlineStr">
        <is>
          <t>North</t>
        </is>
      </c>
      <c r="J344" s="7" t="n">
        <v>97</v>
      </c>
      <c r="K344" s="7" t="n">
        <v>39.17</v>
      </c>
      <c r="L344" s="7" t="n">
        <v>3799.43</v>
      </c>
      <c r="M344" s="7" t="inlineStr">
        <is>
          <t>Overdue</t>
        </is>
      </c>
    </row>
    <row r="345">
      <c r="A345" s="7" t="inlineStr">
        <is>
          <t>PO-00064</t>
        </is>
      </c>
      <c r="B345" s="9" t="n">
        <v>45877</v>
      </c>
      <c r="C345" s="7" t="inlineStr">
        <is>
          <t>Invoice</t>
        </is>
      </c>
      <c r="D345" s="7" t="inlineStr">
        <is>
          <t>SUP003</t>
        </is>
      </c>
      <c r="E345" s="7" t="inlineStr">
        <is>
          <t>Northstar IT Services</t>
        </is>
      </c>
      <c r="F345" s="7" t="inlineStr">
        <is>
          <t>IT Services</t>
        </is>
      </c>
      <c r="G345" s="7" t="inlineStr">
        <is>
          <t>Cloud services</t>
        </is>
      </c>
      <c r="H345" s="7" t="inlineStr">
        <is>
          <t>Operations</t>
        </is>
      </c>
      <c r="I345" s="7" t="inlineStr">
        <is>
          <t>West</t>
        </is>
      </c>
      <c r="J345" s="7" t="n">
        <v>34</v>
      </c>
      <c r="K345" s="7" t="n">
        <v>168.47</v>
      </c>
      <c r="L345" s="7" t="n">
        <v>5727.84</v>
      </c>
      <c r="M345" s="7" t="inlineStr">
        <is>
          <t>Pending</t>
        </is>
      </c>
    </row>
    <row r="346">
      <c r="A346" s="7" t="inlineStr">
        <is>
          <t>PO-00024</t>
        </is>
      </c>
      <c r="B346" s="9" t="n">
        <v>45878</v>
      </c>
      <c r="C346" s="7" t="inlineStr">
        <is>
          <t>Purchase Order</t>
        </is>
      </c>
      <c r="D346" s="7" t="inlineStr">
        <is>
          <t>SUP006</t>
        </is>
      </c>
      <c r="E346" s="7" t="inlineStr">
        <is>
          <t>Metro Logistics Pvt Ltd</t>
        </is>
      </c>
      <c r="F346" s="7" t="inlineStr">
        <is>
          <t>Logistics</t>
        </is>
      </c>
      <c r="G346" s="7" t="inlineStr">
        <is>
          <t>Warehouse handling</t>
        </is>
      </c>
      <c r="H346" s="7" t="inlineStr">
        <is>
          <t>Corporate</t>
        </is>
      </c>
      <c r="I346" s="7" t="inlineStr">
        <is>
          <t>North</t>
        </is>
      </c>
      <c r="J346" s="7" t="n">
        <v>94</v>
      </c>
      <c r="K346" s="7" t="n">
        <v>153.19</v>
      </c>
      <c r="L346" s="7" t="n">
        <v>14399.68</v>
      </c>
      <c r="M346" s="7" t="inlineStr">
        <is>
          <t>Pending</t>
        </is>
      </c>
    </row>
    <row r="347">
      <c r="A347" s="7" t="inlineStr">
        <is>
          <t>PO-00189</t>
        </is>
      </c>
      <c r="B347" s="9" t="n">
        <v>45878</v>
      </c>
      <c r="C347" s="7" t="inlineStr">
        <is>
          <t>Invoice</t>
        </is>
      </c>
      <c r="D347" s="7" t="inlineStr">
        <is>
          <t>SUP010</t>
        </is>
      </c>
      <c r="E347" s="7" t="inlineStr">
        <is>
          <t>Urban Energy Solutions</t>
        </is>
      </c>
      <c r="F347" s="7" t="inlineStr">
        <is>
          <t>Utilities</t>
        </is>
      </c>
      <c r="G347" s="7" t="inlineStr">
        <is>
          <t>Electricity</t>
        </is>
      </c>
      <c r="H347" s="7" t="inlineStr">
        <is>
          <t>Corporate</t>
        </is>
      </c>
      <c r="I347" s="7" t="inlineStr">
        <is>
          <t>East</t>
        </is>
      </c>
      <c r="J347" s="7" t="n">
        <v>38</v>
      </c>
      <c r="K347" s="7" t="n">
        <v>88.06999999999999</v>
      </c>
      <c r="L347" s="7" t="n">
        <v>3346.56</v>
      </c>
      <c r="M347" s="7" t="inlineStr">
        <is>
          <t>Overdue</t>
        </is>
      </c>
    </row>
    <row r="348">
      <c r="A348" s="7" t="inlineStr">
        <is>
          <t>PO-00072</t>
        </is>
      </c>
      <c r="B348" s="9" t="n">
        <v>45879</v>
      </c>
      <c r="C348" s="7" t="inlineStr">
        <is>
          <t>Purchase Order</t>
        </is>
      </c>
      <c r="D348" s="7" t="inlineStr">
        <is>
          <t>SUP006</t>
        </is>
      </c>
      <c r="E348" s="7" t="inlineStr">
        <is>
          <t>Metro Logistics Pvt Ltd</t>
        </is>
      </c>
      <c r="F348" s="7" t="inlineStr">
        <is>
          <t>Logistics</t>
        </is>
      </c>
      <c r="G348" s="7" t="inlineStr">
        <is>
          <t>Courier services</t>
        </is>
      </c>
      <c r="H348" s="7" t="inlineStr">
        <is>
          <t>Operations</t>
        </is>
      </c>
      <c r="I348" s="7" t="inlineStr">
        <is>
          <t>East</t>
        </is>
      </c>
      <c r="J348" s="7" t="n">
        <v>91</v>
      </c>
      <c r="K348" s="7" t="n">
        <v>279.05</v>
      </c>
      <c r="L348" s="7" t="n">
        <v>25393.39</v>
      </c>
      <c r="M348" s="7" t="inlineStr">
        <is>
          <t>Overdue</t>
        </is>
      </c>
    </row>
    <row r="349">
      <c r="A349" s="7" t="inlineStr">
        <is>
          <t>PO-00141</t>
        </is>
      </c>
      <c r="B349" s="9" t="n">
        <v>45879</v>
      </c>
      <c r="C349" s="7" t="inlineStr">
        <is>
          <t>Goods Receipt</t>
        </is>
      </c>
      <c r="D349" s="7" t="inlineStr">
        <is>
          <t>SUP002</t>
        </is>
      </c>
      <c r="E349" s="7" t="inlineStr">
        <is>
          <t>Apex Office Supply Ltd</t>
        </is>
      </c>
      <c r="F349" s="7" t="inlineStr">
        <is>
          <t>Office Supplies</t>
        </is>
      </c>
      <c r="G349" s="7" t="inlineStr">
        <is>
          <t>Printer paper</t>
        </is>
      </c>
      <c r="H349" s="7" t="inlineStr">
        <is>
          <t>Manufacturing</t>
        </is>
      </c>
      <c r="I349" s="7" t="inlineStr">
        <is>
          <t>East</t>
        </is>
      </c>
      <c r="J349" s="7" t="n">
        <v>17</v>
      </c>
      <c r="K349" s="7" t="n">
        <v>399</v>
      </c>
      <c r="L349" s="7" t="n">
        <v>6782.93</v>
      </c>
      <c r="M349" s="7" t="inlineStr">
        <is>
          <t>Overdue</t>
        </is>
      </c>
    </row>
    <row r="350">
      <c r="A350" s="7" t="inlineStr">
        <is>
          <t>PO-00428</t>
        </is>
      </c>
      <c r="B350" s="9" t="n">
        <v>45880</v>
      </c>
      <c r="C350" s="7" t="inlineStr">
        <is>
          <t>Invoice</t>
        </is>
      </c>
      <c r="D350" s="7" t="inlineStr">
        <is>
          <t>SUP011</t>
        </is>
      </c>
      <c r="E350" s="7" t="inlineStr">
        <is>
          <t>Vertex Marketing</t>
        </is>
      </c>
      <c r="F350" s="7" t="inlineStr">
        <is>
          <t>Marketing</t>
        </is>
      </c>
      <c r="G350" s="7" t="inlineStr">
        <is>
          <t>Digital campaign</t>
        </is>
      </c>
      <c r="H350" s="7" t="inlineStr">
        <is>
          <t>Corporate</t>
        </is>
      </c>
      <c r="I350" s="7" t="inlineStr">
        <is>
          <t>South</t>
        </is>
      </c>
      <c r="J350" s="7" t="n">
        <v>62</v>
      </c>
      <c r="K350" s="7" t="n">
        <v>125.66</v>
      </c>
      <c r="L350" s="7" t="n">
        <v>7790.98</v>
      </c>
      <c r="M350" s="7" t="inlineStr">
        <is>
          <t>Overdue</t>
        </is>
      </c>
    </row>
    <row r="351">
      <c r="A351" s="7" t="inlineStr">
        <is>
          <t>PO-00343</t>
        </is>
      </c>
      <c r="B351" s="9" t="n">
        <v>45881</v>
      </c>
      <c r="C351" s="7" t="inlineStr">
        <is>
          <t>Purchase Order</t>
        </is>
      </c>
      <c r="D351" s="7" t="inlineStr">
        <is>
          <t>SUP012</t>
        </is>
      </c>
      <c r="E351" s="7" t="inlineStr">
        <is>
          <t>Pioneer Hardware</t>
        </is>
      </c>
      <c r="F351" s="7" t="inlineStr">
        <is>
          <t>Maintenance</t>
        </is>
      </c>
      <c r="G351" s="7" t="inlineStr">
        <is>
          <t>Equipment servicing</t>
        </is>
      </c>
      <c r="H351" s="7" t="inlineStr">
        <is>
          <t>Corporate</t>
        </is>
      </c>
      <c r="I351" s="7" t="inlineStr">
        <is>
          <t>West</t>
        </is>
      </c>
      <c r="J351" s="7" t="n">
        <v>32</v>
      </c>
      <c r="K351" s="7" t="n">
        <v>137.09</v>
      </c>
      <c r="L351" s="7" t="n">
        <v>4386.84</v>
      </c>
      <c r="M351" s="7" t="inlineStr">
        <is>
          <t>Overdue</t>
        </is>
      </c>
    </row>
    <row r="352">
      <c r="A352" s="7" t="inlineStr">
        <is>
          <t>PO-00155</t>
        </is>
      </c>
      <c r="B352" s="9" t="n">
        <v>45881</v>
      </c>
      <c r="C352" s="7" t="inlineStr">
        <is>
          <t>Purchase Order</t>
        </is>
      </c>
      <c r="D352" s="7" t="inlineStr">
        <is>
          <t>SUP002</t>
        </is>
      </c>
      <c r="E352" s="7" t="inlineStr">
        <is>
          <t>Apex Office Supply Ltd</t>
        </is>
      </c>
      <c r="F352" s="7" t="inlineStr">
        <is>
          <t>Office Supplies</t>
        </is>
      </c>
      <c r="G352" s="7" t="inlineStr">
        <is>
          <t>Pens and stationery</t>
        </is>
      </c>
      <c r="H352" s="7" t="inlineStr">
        <is>
          <t>Technology</t>
        </is>
      </c>
      <c r="I352" s="7" t="inlineStr">
        <is>
          <t>East</t>
        </is>
      </c>
      <c r="J352" s="7" t="n">
        <v>68</v>
      </c>
      <c r="K352" s="7" t="n">
        <v>156.6</v>
      </c>
      <c r="L352" s="7" t="n">
        <v>10649.02</v>
      </c>
      <c r="M352" s="7" t="inlineStr">
        <is>
          <t>Paid</t>
        </is>
      </c>
    </row>
    <row r="353">
      <c r="A353" s="7" t="inlineStr">
        <is>
          <t>PO-00099</t>
        </is>
      </c>
      <c r="B353" s="9" t="n">
        <v>45882</v>
      </c>
      <c r="C353" s="7" t="inlineStr">
        <is>
          <t>Goods Receipt</t>
        </is>
      </c>
      <c r="D353" s="7" t="inlineStr">
        <is>
          <t>SUP012</t>
        </is>
      </c>
      <c r="E353" s="7" t="inlineStr">
        <is>
          <t>Pioneer Hardware</t>
        </is>
      </c>
      <c r="F353" s="7" t="inlineStr">
        <is>
          <t>Maintenance</t>
        </is>
      </c>
      <c r="G353" s="7" t="inlineStr">
        <is>
          <t>Repair parts</t>
        </is>
      </c>
      <c r="H353" s="7" t="inlineStr">
        <is>
          <t>Operations</t>
        </is>
      </c>
      <c r="I353" s="7" t="inlineStr">
        <is>
          <t>East</t>
        </is>
      </c>
      <c r="J353" s="7" t="n">
        <v>81</v>
      </c>
      <c r="K353" s="7" t="n">
        <v>7.85</v>
      </c>
      <c r="L353" s="7" t="n">
        <v>636.1900000000001</v>
      </c>
      <c r="M353" s="7" t="inlineStr">
        <is>
          <t>Overdue</t>
        </is>
      </c>
    </row>
    <row r="354">
      <c r="A354" s="7" t="inlineStr">
        <is>
          <t>PO-00171</t>
        </is>
      </c>
      <c r="B354" s="9" t="n">
        <v>45882</v>
      </c>
      <c r="C354" s="7" t="inlineStr">
        <is>
          <t>Invoice</t>
        </is>
      </c>
      <c r="D354" s="7" t="inlineStr">
        <is>
          <t>SUP001</t>
        </is>
      </c>
      <c r="E354" s="7" t="inlineStr">
        <is>
          <t>Apex Office Supplies</t>
        </is>
      </c>
      <c r="F354" s="7" t="inlineStr">
        <is>
          <t>Office Supplies</t>
        </is>
      </c>
      <c r="G354" s="7" t="inlineStr">
        <is>
          <t>Toner cartridges</t>
        </is>
      </c>
      <c r="H354" s="7" t="inlineStr">
        <is>
          <t>Technology</t>
        </is>
      </c>
      <c r="I354" s="7" t="inlineStr">
        <is>
          <t>West</t>
        </is>
      </c>
      <c r="J354" s="7" t="n">
        <v>31</v>
      </c>
      <c r="K354" s="7" t="n">
        <v>393.98</v>
      </c>
      <c r="L354" s="7" t="n">
        <v>12213.37</v>
      </c>
      <c r="M354" s="7" t="inlineStr">
        <is>
          <t>Paid</t>
        </is>
      </c>
    </row>
    <row r="355">
      <c r="A355" s="7" t="inlineStr">
        <is>
          <t>PO-00385</t>
        </is>
      </c>
      <c r="B355" s="9" t="n">
        <v>45882</v>
      </c>
      <c r="C355" s="7" t="inlineStr">
        <is>
          <t>Invoice</t>
        </is>
      </c>
      <c r="D355" s="7" t="inlineStr">
        <is>
          <t>SUP012</t>
        </is>
      </c>
      <c r="E355" s="7" t="inlineStr">
        <is>
          <t>Pioneer Hardware</t>
        </is>
      </c>
      <c r="F355" s="7" t="inlineStr">
        <is>
          <t>Maintenance</t>
        </is>
      </c>
      <c r="G355" s="7" t="inlineStr">
        <is>
          <t>Equipment servicing</t>
        </is>
      </c>
      <c r="H355" s="7" t="inlineStr">
        <is>
          <t>Technology</t>
        </is>
      </c>
      <c r="I355" s="7" t="inlineStr">
        <is>
          <t>West</t>
        </is>
      </c>
      <c r="J355" s="7" t="n">
        <v>53</v>
      </c>
      <c r="K355" s="7" t="n">
        <v>58.38</v>
      </c>
      <c r="L355" s="7" t="n">
        <v>3094.13</v>
      </c>
      <c r="M355" s="7" t="inlineStr">
        <is>
          <t>Paid</t>
        </is>
      </c>
    </row>
    <row r="356">
      <c r="A356" s="7" t="inlineStr">
        <is>
          <t>PO-00035</t>
        </is>
      </c>
      <c r="B356" s="9" t="n">
        <v>45882</v>
      </c>
      <c r="C356" s="7" t="inlineStr">
        <is>
          <t>Goods Receipt</t>
        </is>
      </c>
      <c r="D356" s="7" t="inlineStr">
        <is>
          <t>SUP009</t>
        </is>
      </c>
      <c r="E356" s="7" t="inlineStr">
        <is>
          <t>Summit Consulting</t>
        </is>
      </c>
      <c r="F356" s="7" t="inlineStr">
        <is>
          <t>Professional Services</t>
        </is>
      </c>
      <c r="G356" s="7" t="inlineStr">
        <is>
          <t>Audit support</t>
        </is>
      </c>
      <c r="H356" s="7" t="inlineStr">
        <is>
          <t>Corporate</t>
        </is>
      </c>
      <c r="I356" s="7" t="inlineStr">
        <is>
          <t>East</t>
        </is>
      </c>
      <c r="J356" s="7" t="n">
        <v>104</v>
      </c>
      <c r="K356" s="7" t="n">
        <v>180.74</v>
      </c>
      <c r="L356" s="7" t="n">
        <v>18796.56</v>
      </c>
      <c r="M356" s="7" t="inlineStr">
        <is>
          <t>Overdue</t>
        </is>
      </c>
    </row>
    <row r="357">
      <c r="A357" s="7" t="inlineStr">
        <is>
          <t>PO-00443</t>
        </is>
      </c>
      <c r="B357" s="9" t="n">
        <v>45882</v>
      </c>
      <c r="C357" s="7" t="inlineStr">
        <is>
          <t>Invoice</t>
        </is>
      </c>
      <c r="D357" s="7" t="inlineStr">
        <is>
          <t>SUP010</t>
        </is>
      </c>
      <c r="E357" s="7" t="inlineStr">
        <is>
          <t>Urban Energy Solutions</t>
        </is>
      </c>
      <c r="F357" s="7" t="inlineStr">
        <is>
          <t>Utilities</t>
        </is>
      </c>
      <c r="G357" s="7" t="inlineStr">
        <is>
          <t>Electricity</t>
        </is>
      </c>
      <c r="H357" s="7" t="inlineStr">
        <is>
          <t>Corporate</t>
        </is>
      </c>
      <c r="I357" s="7" t="inlineStr">
        <is>
          <t>West</t>
        </is>
      </c>
      <c r="J357" s="7" t="n">
        <v>48</v>
      </c>
      <c r="K357" s="7" t="n">
        <v>275.57</v>
      </c>
      <c r="L357" s="7" t="n">
        <v>13227.25</v>
      </c>
      <c r="M357" s="7" t="inlineStr">
        <is>
          <t>Pending</t>
        </is>
      </c>
    </row>
    <row r="358">
      <c r="A358" s="7" t="inlineStr">
        <is>
          <t>PO-00107</t>
        </is>
      </c>
      <c r="B358" s="9" t="n">
        <v>45883</v>
      </c>
      <c r="C358" s="7" t="inlineStr">
        <is>
          <t>Purchase Order</t>
        </is>
      </c>
      <c r="D358" s="7" t="inlineStr">
        <is>
          <t>SUP002</t>
        </is>
      </c>
      <c r="E358" s="7" t="inlineStr">
        <is>
          <t>Apex Office Supply Ltd</t>
        </is>
      </c>
      <c r="F358" s="7" t="inlineStr">
        <is>
          <t>Office Supplies</t>
        </is>
      </c>
      <c r="G358" s="7" t="inlineStr">
        <is>
          <t>Pens and stationery</t>
        </is>
      </c>
      <c r="H358" s="7" t="inlineStr">
        <is>
          <t>Operations</t>
        </is>
      </c>
      <c r="I358" s="7" t="inlineStr">
        <is>
          <t>North</t>
        </is>
      </c>
      <c r="J358" s="7" t="n">
        <v>93</v>
      </c>
      <c r="K358" s="7" t="n">
        <v>89.14</v>
      </c>
      <c r="L358" s="7" t="n">
        <v>8289.870000000001</v>
      </c>
      <c r="M358" s="7" t="inlineStr">
        <is>
          <t>Pending</t>
        </is>
      </c>
    </row>
    <row r="359">
      <c r="A359" s="7" t="inlineStr">
        <is>
          <t>PO-00039</t>
        </is>
      </c>
      <c r="B359" s="9" t="n">
        <v>45884</v>
      </c>
      <c r="C359" s="7" t="inlineStr">
        <is>
          <t>Purchase Order</t>
        </is>
      </c>
      <c r="D359" s="7" t="inlineStr">
        <is>
          <t>SUP009</t>
        </is>
      </c>
      <c r="E359" s="7" t="inlineStr">
        <is>
          <t>Summit Consulting</t>
        </is>
      </c>
      <c r="F359" s="7" t="inlineStr">
        <is>
          <t>Professional Services</t>
        </is>
      </c>
      <c r="G359" s="7" t="inlineStr">
        <is>
          <t>Audit support</t>
        </is>
      </c>
      <c r="H359" s="7" t="inlineStr">
        <is>
          <t>Operations</t>
        </is>
      </c>
      <c r="I359" s="7" t="inlineStr">
        <is>
          <t>North</t>
        </is>
      </c>
      <c r="J359" s="7" t="n">
        <v>15</v>
      </c>
      <c r="K359" s="7" t="n">
        <v>1150.22</v>
      </c>
      <c r="L359" s="7" t="n">
        <v>17253.33</v>
      </c>
      <c r="M359" s="7" t="inlineStr">
        <is>
          <t>Pending</t>
        </is>
      </c>
    </row>
    <row r="360">
      <c r="A360" s="7" t="inlineStr">
        <is>
          <t>PO-00149</t>
        </is>
      </c>
      <c r="B360" s="9" t="n">
        <v>45884</v>
      </c>
      <c r="C360" s="7" t="inlineStr">
        <is>
          <t>Invoice</t>
        </is>
      </c>
      <c r="D360" s="7" t="inlineStr">
        <is>
          <t>SUP007</t>
        </is>
      </c>
      <c r="E360" s="7" t="inlineStr">
        <is>
          <t>BrightClean Facilities</t>
        </is>
      </c>
      <c r="F360" s="7" t="inlineStr">
        <is>
          <t>Facilities</t>
        </is>
      </c>
      <c r="G360" s="7" t="inlineStr">
        <is>
          <t>Facility maintenance</t>
        </is>
      </c>
      <c r="H360" s="7" t="inlineStr">
        <is>
          <t>Corporate</t>
        </is>
      </c>
      <c r="I360" s="7" t="inlineStr">
        <is>
          <t>East</t>
        </is>
      </c>
      <c r="J360" s="7" t="n">
        <v>15</v>
      </c>
      <c r="K360" s="7" t="n">
        <v>907.89</v>
      </c>
      <c r="L360" s="7" t="n">
        <v>13618.38</v>
      </c>
      <c r="M360" s="7" t="inlineStr">
        <is>
          <t>Overdue</t>
        </is>
      </c>
    </row>
    <row r="361">
      <c r="A361" s="7" t="inlineStr">
        <is>
          <t>PO-00051</t>
        </is>
      </c>
      <c r="B361" s="9" t="n">
        <v>45884</v>
      </c>
      <c r="C361" s="7" t="inlineStr">
        <is>
          <t>Goods Receipt</t>
        </is>
      </c>
      <c r="D361" s="7" t="inlineStr">
        <is>
          <t>SUP008</t>
        </is>
      </c>
      <c r="E361" s="7" t="inlineStr">
        <is>
          <t>GreenLeaf Packaging</t>
        </is>
      </c>
      <c r="F361" s="7" t="inlineStr">
        <is>
          <t>Packaging</t>
        </is>
      </c>
      <c r="G361" s="7" t="inlineStr">
        <is>
          <t>Corrugated boxes</t>
        </is>
      </c>
      <c r="H361" s="7" t="inlineStr">
        <is>
          <t>Corporate</t>
        </is>
      </c>
      <c r="I361" s="7" t="inlineStr">
        <is>
          <t>East</t>
        </is>
      </c>
      <c r="J361" s="7" t="n">
        <v>102</v>
      </c>
      <c r="K361" s="7" t="n">
        <v>90.78</v>
      </c>
      <c r="L361" s="7" t="n">
        <v>9259.790000000001</v>
      </c>
      <c r="M361" s="7" t="inlineStr">
        <is>
          <t>Overdue</t>
        </is>
      </c>
    </row>
    <row r="362">
      <c r="A362" s="7" t="inlineStr">
        <is>
          <t>PO-00129</t>
        </is>
      </c>
      <c r="B362" s="9" t="n">
        <v>45885</v>
      </c>
      <c r="C362" s="7" t="inlineStr">
        <is>
          <t>Invoice</t>
        </is>
      </c>
      <c r="D362" s="7" t="inlineStr">
        <is>
          <t>SUP004</t>
        </is>
      </c>
      <c r="E362" s="7" t="inlineStr">
        <is>
          <t>North Star IT Svc</t>
        </is>
      </c>
      <c r="F362" s="7" t="inlineStr">
        <is>
          <t>IT Services</t>
        </is>
      </c>
      <c r="G362" s="7" t="inlineStr">
        <is>
          <t>IT consulting</t>
        </is>
      </c>
      <c r="H362" s="7" t="inlineStr">
        <is>
          <t>Technology</t>
        </is>
      </c>
      <c r="I362" s="7" t="inlineStr">
        <is>
          <t>North</t>
        </is>
      </c>
      <c r="J362" s="7" t="n">
        <v>88</v>
      </c>
      <c r="K362" s="7" t="n">
        <v>36.64</v>
      </c>
      <c r="L362" s="7" t="n">
        <v>3223.98</v>
      </c>
      <c r="M362" s="7" t="inlineStr">
        <is>
          <t>Pending</t>
        </is>
      </c>
    </row>
    <row r="363">
      <c r="A363" s="7" t="inlineStr">
        <is>
          <t>PO-00553</t>
        </is>
      </c>
      <c r="B363" s="9" t="n">
        <v>45885</v>
      </c>
      <c r="C363" s="7" t="inlineStr">
        <is>
          <t>Invoice</t>
        </is>
      </c>
      <c r="D363" s="7" t="inlineStr">
        <is>
          <t>SUP006</t>
        </is>
      </c>
      <c r="E363" s="7" t="inlineStr">
        <is>
          <t>Metro Logistics Pvt Ltd</t>
        </is>
      </c>
      <c r="F363" s="7" t="inlineStr">
        <is>
          <t>Logistics</t>
        </is>
      </c>
      <c r="G363" s="7" t="inlineStr">
        <is>
          <t>Freight services</t>
        </is>
      </c>
      <c r="H363" s="7" t="inlineStr">
        <is>
          <t>Operations</t>
        </is>
      </c>
      <c r="I363" s="7" t="inlineStr">
        <is>
          <t>North</t>
        </is>
      </c>
      <c r="J363" s="7" t="n">
        <v>58</v>
      </c>
      <c r="K363" s="7" t="n">
        <v>276.52</v>
      </c>
      <c r="L363" s="7" t="n">
        <v>16038.36</v>
      </c>
      <c r="M363" s="7" t="inlineStr">
        <is>
          <t>Paid</t>
        </is>
      </c>
    </row>
    <row r="364">
      <c r="A364" s="7" t="inlineStr">
        <is>
          <t>PO-00196</t>
        </is>
      </c>
      <c r="B364" s="9" t="n">
        <v>45886</v>
      </c>
      <c r="C364" s="7" t="inlineStr">
        <is>
          <t>Invoice</t>
        </is>
      </c>
      <c r="D364" s="7" t="inlineStr">
        <is>
          <t>SUP004</t>
        </is>
      </c>
      <c r="E364" s="7" t="inlineStr">
        <is>
          <t>North Star IT Svc</t>
        </is>
      </c>
      <c r="F364" s="7" t="inlineStr">
        <is>
          <t>IT Services</t>
        </is>
      </c>
      <c r="G364" s="7" t="inlineStr">
        <is>
          <t>Software support</t>
        </is>
      </c>
      <c r="H364" s="7" t="inlineStr">
        <is>
          <t>Corporate</t>
        </is>
      </c>
      <c r="I364" s="7" t="inlineStr">
        <is>
          <t>South</t>
        </is>
      </c>
      <c r="J364" s="7" t="n">
        <v>118</v>
      </c>
      <c r="K364" s="7" t="n">
        <v>75.29000000000001</v>
      </c>
      <c r="L364" s="7" t="n">
        <v>8884.389999999999</v>
      </c>
      <c r="M364" s="7" t="inlineStr">
        <is>
          <t>Paid</t>
        </is>
      </c>
    </row>
    <row r="365">
      <c r="A365" s="7" t="inlineStr">
        <is>
          <t>PO-00057</t>
        </is>
      </c>
      <c r="B365" s="9" t="n">
        <v>45886</v>
      </c>
      <c r="C365" s="7" t="inlineStr">
        <is>
          <t>Purchase Order</t>
        </is>
      </c>
      <c r="D365" s="7" t="inlineStr">
        <is>
          <t>SUP003</t>
        </is>
      </c>
      <c r="E365" s="7" t="inlineStr">
        <is>
          <t>Northstar IT Services</t>
        </is>
      </c>
      <c r="F365" s="7" t="inlineStr">
        <is>
          <t>IT Services</t>
        </is>
      </c>
      <c r="G365" s="7" t="inlineStr">
        <is>
          <t>IT consulting</t>
        </is>
      </c>
      <c r="H365" s="7" t="inlineStr">
        <is>
          <t>Technology</t>
        </is>
      </c>
      <c r="I365" s="7" t="inlineStr">
        <is>
          <t>West</t>
        </is>
      </c>
      <c r="J365" s="7" t="n">
        <v>34</v>
      </c>
      <c r="K365" s="7" t="n">
        <v>430.36</v>
      </c>
      <c r="L365" s="7" t="n">
        <v>14632.2</v>
      </c>
      <c r="M365" s="7" t="inlineStr">
        <is>
          <t>Overdue</t>
        </is>
      </c>
    </row>
    <row r="366">
      <c r="A366" s="7" t="inlineStr">
        <is>
          <t>PO-00003</t>
        </is>
      </c>
      <c r="B366" s="9" t="n">
        <v>45887</v>
      </c>
      <c r="C366" s="7" t="inlineStr">
        <is>
          <t>Purchase Order</t>
        </is>
      </c>
      <c r="D366" s="7" t="inlineStr">
        <is>
          <t>SUP010</t>
        </is>
      </c>
      <c r="E366" s="7" t="inlineStr">
        <is>
          <t>Urban Energy Solutions</t>
        </is>
      </c>
      <c r="F366" s="7" t="inlineStr">
        <is>
          <t>Utilities</t>
        </is>
      </c>
      <c r="G366" s="7" t="inlineStr">
        <is>
          <t>Natural gas</t>
        </is>
      </c>
      <c r="H366" s="7" t="inlineStr">
        <is>
          <t>Sales</t>
        </is>
      </c>
      <c r="I366" s="7" t="inlineStr">
        <is>
          <t>East</t>
        </is>
      </c>
      <c r="J366" s="7" t="n">
        <v>98</v>
      </c>
      <c r="K366" s="7" t="n">
        <v>159.83</v>
      </c>
      <c r="L366" s="7" t="n">
        <v>15663.09</v>
      </c>
      <c r="M366" s="7" t="inlineStr">
        <is>
          <t>Pending</t>
        </is>
      </c>
    </row>
    <row r="367">
      <c r="A367" s="7" t="inlineStr">
        <is>
          <t>PO-00398</t>
        </is>
      </c>
      <c r="B367" s="9" t="n">
        <v>45887</v>
      </c>
      <c r="C367" s="7" t="inlineStr">
        <is>
          <t>Purchase Order</t>
        </is>
      </c>
      <c r="D367" s="7" t="inlineStr">
        <is>
          <t>SUP003</t>
        </is>
      </c>
      <c r="E367" s="7" t="inlineStr">
        <is>
          <t>Northstar IT Services</t>
        </is>
      </c>
      <c r="F367" s="7" t="inlineStr">
        <is>
          <t>IT Services</t>
        </is>
      </c>
      <c r="G367" s="7" t="inlineStr">
        <is>
          <t>Software support</t>
        </is>
      </c>
      <c r="H367" s="7" t="inlineStr">
        <is>
          <t>Corporate</t>
        </is>
      </c>
      <c r="I367" s="7" t="inlineStr">
        <is>
          <t>West</t>
        </is>
      </c>
      <c r="J367" s="7" t="n">
        <v>28</v>
      </c>
      <c r="K367" s="7" t="n">
        <v>188.76</v>
      </c>
      <c r="L367" s="7" t="n">
        <v>5285.14</v>
      </c>
      <c r="M367" s="7" t="inlineStr">
        <is>
          <t>Paid</t>
        </is>
      </c>
    </row>
    <row r="368">
      <c r="A368" s="7" t="inlineStr">
        <is>
          <t>PO-00249</t>
        </is>
      </c>
      <c r="B368" s="9" t="n">
        <v>45887</v>
      </c>
      <c r="C368" s="7" t="inlineStr">
        <is>
          <t>Goods Receipt</t>
        </is>
      </c>
      <c r="D368" s="7" t="inlineStr">
        <is>
          <t>SUP007</t>
        </is>
      </c>
      <c r="E368" s="7" t="inlineStr">
        <is>
          <t>BrightClean Facilities</t>
        </is>
      </c>
      <c r="F368" s="7" t="inlineStr">
        <is>
          <t>Facilities</t>
        </is>
      </c>
      <c r="G368" s="7" t="inlineStr">
        <is>
          <t>Cleaning services</t>
        </is>
      </c>
      <c r="H368" s="7" t="inlineStr">
        <is>
          <t>Technology</t>
        </is>
      </c>
      <c r="I368" s="7" t="inlineStr">
        <is>
          <t>North</t>
        </is>
      </c>
      <c r="J368" s="7" t="n">
        <v>85</v>
      </c>
      <c r="K368" s="7" t="n">
        <v>145.03</v>
      </c>
      <c r="L368" s="7" t="n">
        <v>12327.22</v>
      </c>
      <c r="M368" s="7" t="inlineStr">
        <is>
          <t>Paid</t>
        </is>
      </c>
    </row>
    <row r="369">
      <c r="A369" s="7" t="inlineStr">
        <is>
          <t>PO-00360</t>
        </is>
      </c>
      <c r="B369" s="9" t="n">
        <v>45888</v>
      </c>
      <c r="C369" s="7" t="inlineStr">
        <is>
          <t>Purchase Order</t>
        </is>
      </c>
      <c r="D369" s="7" t="inlineStr">
        <is>
          <t>SUP008</t>
        </is>
      </c>
      <c r="E369" s="7" t="inlineStr">
        <is>
          <t>GreenLeaf Packaging</t>
        </is>
      </c>
      <c r="F369" s="7" t="inlineStr">
        <is>
          <t>Packaging</t>
        </is>
      </c>
      <c r="G369" s="7" t="inlineStr">
        <is>
          <t>Protective packaging</t>
        </is>
      </c>
      <c r="H369" s="7" t="inlineStr">
        <is>
          <t>Technology</t>
        </is>
      </c>
      <c r="I369" s="7" t="inlineStr">
        <is>
          <t>West</t>
        </is>
      </c>
      <c r="J369" s="7" t="n">
        <v>46</v>
      </c>
      <c r="K369" s="7" t="n">
        <v>49.54</v>
      </c>
      <c r="L369" s="7" t="n">
        <v>2278.77</v>
      </c>
      <c r="M369" s="7" t="inlineStr">
        <is>
          <t>Pending</t>
        </is>
      </c>
    </row>
    <row r="370">
      <c r="A370" s="7" t="inlineStr">
        <is>
          <t>PO-00074</t>
        </is>
      </c>
      <c r="B370" s="9" t="n">
        <v>45888</v>
      </c>
      <c r="C370" s="7" t="inlineStr">
        <is>
          <t>Invoice</t>
        </is>
      </c>
      <c r="D370" s="7" t="inlineStr">
        <is>
          <t>SUP004</t>
        </is>
      </c>
      <c r="E370" s="7" t="inlineStr">
        <is>
          <t>North Star IT Svc</t>
        </is>
      </c>
      <c r="F370" s="7" t="inlineStr">
        <is>
          <t>IT Services</t>
        </is>
      </c>
      <c r="G370" s="7" t="inlineStr">
        <is>
          <t>Cloud services</t>
        </is>
      </c>
      <c r="H370" s="7" t="inlineStr">
        <is>
          <t>Corporate</t>
        </is>
      </c>
      <c r="I370" s="7" t="inlineStr">
        <is>
          <t>West</t>
        </is>
      </c>
      <c r="J370" s="7" t="n">
        <v>86</v>
      </c>
      <c r="K370" s="7" t="n">
        <v>203.78</v>
      </c>
      <c r="L370" s="7" t="n">
        <v>17525.15</v>
      </c>
      <c r="M370" s="7" t="inlineStr">
        <is>
          <t>Pending</t>
        </is>
      </c>
    </row>
    <row r="371">
      <c r="A371" s="7" t="inlineStr">
        <is>
          <t>PO-00197</t>
        </is>
      </c>
      <c r="B371" s="9" t="n">
        <v>45889</v>
      </c>
      <c r="C371" s="7" t="inlineStr">
        <is>
          <t>Goods Receipt</t>
        </is>
      </c>
      <c r="D371" s="7" t="inlineStr">
        <is>
          <t>SUP003</t>
        </is>
      </c>
      <c r="E371" s="7" t="inlineStr">
        <is>
          <t>Northstar IT Services</t>
        </is>
      </c>
      <c r="F371" s="7" t="inlineStr">
        <is>
          <t>IT Services</t>
        </is>
      </c>
      <c r="G371" s="7" t="inlineStr">
        <is>
          <t>Cloud services</t>
        </is>
      </c>
      <c r="H371" s="7" t="inlineStr">
        <is>
          <t>Technology</t>
        </is>
      </c>
      <c r="I371" s="7" t="inlineStr">
        <is>
          <t>North</t>
        </is>
      </c>
      <c r="J371" s="7" t="n">
        <v>12</v>
      </c>
      <c r="K371" s="7" t="n">
        <v>1144.47</v>
      </c>
      <c r="L371" s="7" t="n">
        <v>13733.6</v>
      </c>
      <c r="M371" s="7" t="inlineStr">
        <is>
          <t>Overdue</t>
        </is>
      </c>
    </row>
    <row r="372">
      <c r="A372" s="7" t="inlineStr">
        <is>
          <t>PO-00566</t>
        </is>
      </c>
      <c r="B372" s="9" t="n">
        <v>45889</v>
      </c>
      <c r="C372" s="7" t="inlineStr">
        <is>
          <t>Purchase Order</t>
        </is>
      </c>
      <c r="D372" s="7" t="inlineStr">
        <is>
          <t>SUP005</t>
        </is>
      </c>
      <c r="E372" s="7" t="inlineStr">
        <is>
          <t>Metro Logistics</t>
        </is>
      </c>
      <c r="F372" s="7" t="inlineStr">
        <is>
          <t>Logistics</t>
        </is>
      </c>
      <c r="G372" s="7" t="inlineStr">
        <is>
          <t>Freight services</t>
        </is>
      </c>
      <c r="H372" s="7" t="inlineStr">
        <is>
          <t>Corporate</t>
        </is>
      </c>
      <c r="I372" s="7" t="inlineStr">
        <is>
          <t>North</t>
        </is>
      </c>
      <c r="J372" s="7" t="n">
        <v>42</v>
      </c>
      <c r="K372" s="7" t="n">
        <v>360.92</v>
      </c>
      <c r="L372" s="7" t="n">
        <v>15158.71</v>
      </c>
      <c r="M372" s="7" t="inlineStr">
        <is>
          <t>Paid</t>
        </is>
      </c>
    </row>
    <row r="373">
      <c r="A373" s="7" t="inlineStr">
        <is>
          <t>PO-00139</t>
        </is>
      </c>
      <c r="B373" s="9" t="n">
        <v>45889</v>
      </c>
      <c r="C373" s="7" t="inlineStr">
        <is>
          <t>Invoice</t>
        </is>
      </c>
      <c r="D373" s="7" t="inlineStr">
        <is>
          <t>SUP004</t>
        </is>
      </c>
      <c r="E373" s="7" t="inlineStr">
        <is>
          <t>North Star IT Svc</t>
        </is>
      </c>
      <c r="F373" s="7" t="inlineStr">
        <is>
          <t>IT Services</t>
        </is>
      </c>
      <c r="G373" s="7" t="inlineStr">
        <is>
          <t>IT consulting</t>
        </is>
      </c>
      <c r="H373" s="7" t="inlineStr">
        <is>
          <t>Corporate</t>
        </is>
      </c>
      <c r="I373" s="7" t="inlineStr">
        <is>
          <t>East</t>
        </is>
      </c>
      <c r="J373" s="7" t="n">
        <v>52</v>
      </c>
      <c r="K373" s="7" t="n">
        <v>487.58</v>
      </c>
      <c r="L373" s="7" t="n">
        <v>25354.23</v>
      </c>
      <c r="M373" s="7" t="inlineStr">
        <is>
          <t>Pending</t>
        </is>
      </c>
    </row>
    <row r="374">
      <c r="A374" s="7" t="inlineStr">
        <is>
          <t>PO-00468</t>
        </is>
      </c>
      <c r="B374" s="9" t="n">
        <v>45889</v>
      </c>
      <c r="C374" s="7" t="inlineStr">
        <is>
          <t>Purchase Order</t>
        </is>
      </c>
      <c r="D374" s="7" t="inlineStr">
        <is>
          <t>SUP002</t>
        </is>
      </c>
      <c r="E374" s="7" t="inlineStr">
        <is>
          <t>Apex Office Supply Ltd</t>
        </is>
      </c>
      <c r="F374" s="7" t="inlineStr">
        <is>
          <t>Office Supplies</t>
        </is>
      </c>
      <c r="G374" s="7" t="inlineStr">
        <is>
          <t>Toner cartridges</t>
        </is>
      </c>
      <c r="H374" s="7" t="inlineStr">
        <is>
          <t>Manufacturing</t>
        </is>
      </c>
      <c r="I374" s="7" t="inlineStr">
        <is>
          <t>West</t>
        </is>
      </c>
      <c r="J374" s="7" t="n">
        <v>72</v>
      </c>
      <c r="K374" s="7" t="n">
        <v>169.42</v>
      </c>
      <c r="L374" s="7" t="n">
        <v>12198.41</v>
      </c>
      <c r="M374" s="7" t="inlineStr">
        <is>
          <t>Paid</t>
        </is>
      </c>
    </row>
    <row r="375">
      <c r="A375" s="7" t="inlineStr">
        <is>
          <t>PO-00246</t>
        </is>
      </c>
      <c r="B375" s="9" t="n">
        <v>45890</v>
      </c>
      <c r="C375" s="7" t="inlineStr">
        <is>
          <t>Goods Receipt</t>
        </is>
      </c>
      <c r="D375" s="7" t="inlineStr">
        <is>
          <t>SUP003</t>
        </is>
      </c>
      <c r="E375" s="7" t="inlineStr">
        <is>
          <t>Northstar IT Services</t>
        </is>
      </c>
      <c r="F375" s="7" t="inlineStr">
        <is>
          <t>IT Services</t>
        </is>
      </c>
      <c r="G375" s="7" t="inlineStr">
        <is>
          <t>Cloud services</t>
        </is>
      </c>
      <c r="H375" s="7" t="inlineStr">
        <is>
          <t>Technology</t>
        </is>
      </c>
      <c r="I375" s="7" t="inlineStr">
        <is>
          <t>North</t>
        </is>
      </c>
      <c r="J375" s="7" t="n">
        <v>8</v>
      </c>
      <c r="K375" s="7" t="n">
        <v>1761.11</v>
      </c>
      <c r="L375" s="7" t="n">
        <v>14088.85</v>
      </c>
      <c r="M375" s="7" t="inlineStr">
        <is>
          <t>Pending</t>
        </is>
      </c>
    </row>
    <row r="376">
      <c r="A376" s="7" t="inlineStr">
        <is>
          <t>PO-00302</t>
        </is>
      </c>
      <c r="B376" s="9" t="n">
        <v>45891</v>
      </c>
      <c r="C376" s="7" t="inlineStr">
        <is>
          <t>Invoice</t>
        </is>
      </c>
      <c r="D376" s="7" t="inlineStr">
        <is>
          <t>SUP004</t>
        </is>
      </c>
      <c r="E376" s="7" t="inlineStr">
        <is>
          <t>North Star IT Svc</t>
        </is>
      </c>
      <c r="F376" s="7" t="inlineStr">
        <is>
          <t>IT Services</t>
        </is>
      </c>
      <c r="G376" s="7" t="inlineStr">
        <is>
          <t>IT consulting</t>
        </is>
      </c>
      <c r="H376" s="7" t="inlineStr">
        <is>
          <t>Sales</t>
        </is>
      </c>
      <c r="I376" s="7" t="inlineStr">
        <is>
          <t>East</t>
        </is>
      </c>
      <c r="J376" s="7" t="n">
        <v>13</v>
      </c>
      <c r="K376" s="7" t="n">
        <v>830.0700000000001</v>
      </c>
      <c r="L376" s="7" t="n">
        <v>10790.94</v>
      </c>
      <c r="M376" s="7" t="inlineStr">
        <is>
          <t>Paid</t>
        </is>
      </c>
    </row>
    <row r="377">
      <c r="A377" s="7" t="inlineStr">
        <is>
          <t>PO-00444</t>
        </is>
      </c>
      <c r="B377" s="9" t="n">
        <v>45891</v>
      </c>
      <c r="C377" s="7" t="inlineStr">
        <is>
          <t>Invoice</t>
        </is>
      </c>
      <c r="D377" s="7" t="inlineStr">
        <is>
          <t>SUP005</t>
        </is>
      </c>
      <c r="E377" s="7" t="inlineStr">
        <is>
          <t>Metro Logistics</t>
        </is>
      </c>
      <c r="F377" s="7" t="inlineStr">
        <is>
          <t>Logistics</t>
        </is>
      </c>
      <c r="G377" s="7" t="inlineStr">
        <is>
          <t>Warehouse handling</t>
        </is>
      </c>
      <c r="H377" s="7" t="inlineStr">
        <is>
          <t>Operations</t>
        </is>
      </c>
      <c r="I377" s="7" t="inlineStr">
        <is>
          <t>North</t>
        </is>
      </c>
      <c r="J377" s="7" t="n">
        <v>62</v>
      </c>
      <c r="K377" s="7" t="n">
        <v>341.52</v>
      </c>
      <c r="L377" s="7" t="n">
        <v>21174.27</v>
      </c>
      <c r="M377" s="7" t="inlineStr">
        <is>
          <t>Paid</t>
        </is>
      </c>
    </row>
    <row r="378">
      <c r="A378" s="7" t="inlineStr">
        <is>
          <t>PO-00589</t>
        </is>
      </c>
      <c r="B378" s="9" t="n">
        <v>45892</v>
      </c>
      <c r="C378" s="7" t="inlineStr">
        <is>
          <t>Purchase Order</t>
        </is>
      </c>
      <c r="D378" s="7" t="inlineStr">
        <is>
          <t>SUP012</t>
        </is>
      </c>
      <c r="E378" s="7" t="inlineStr">
        <is>
          <t>Pioneer Hardware</t>
        </is>
      </c>
      <c r="F378" s="7" t="inlineStr">
        <is>
          <t>Maintenance</t>
        </is>
      </c>
      <c r="G378" s="7" t="inlineStr">
        <is>
          <t>Tools and supplies</t>
        </is>
      </c>
      <c r="H378" s="7" t="inlineStr">
        <is>
          <t>Sales</t>
        </is>
      </c>
      <c r="I378" s="7" t="inlineStr">
        <is>
          <t>East</t>
        </is>
      </c>
      <c r="J378" s="7" t="n">
        <v>22</v>
      </c>
      <c r="K378" s="7" t="n">
        <v>722.95</v>
      </c>
      <c r="L378" s="7" t="n">
        <v>15904.89</v>
      </c>
      <c r="M378" s="7" t="inlineStr">
        <is>
          <t>Overdue</t>
        </is>
      </c>
    </row>
    <row r="379">
      <c r="A379" s="7" t="inlineStr">
        <is>
          <t>PO-00327</t>
        </is>
      </c>
      <c r="B379" s="9" t="n">
        <v>45893</v>
      </c>
      <c r="C379" s="7" t="inlineStr">
        <is>
          <t>Invoice</t>
        </is>
      </c>
      <c r="D379" s="7" t="inlineStr">
        <is>
          <t>SUP001</t>
        </is>
      </c>
      <c r="E379" s="7" t="inlineStr">
        <is>
          <t>Apex Office Supplies</t>
        </is>
      </c>
      <c r="F379" s="7" t="inlineStr">
        <is>
          <t>Office Supplies</t>
        </is>
      </c>
      <c r="G379" s="7" t="inlineStr">
        <is>
          <t>Printer paper</t>
        </is>
      </c>
      <c r="H379" s="7" t="inlineStr">
        <is>
          <t>Sales</t>
        </is>
      </c>
      <c r="I379" s="7" t="inlineStr">
        <is>
          <t>South</t>
        </is>
      </c>
      <c r="J379" s="7" t="n">
        <v>57</v>
      </c>
      <c r="K379" s="7" t="n">
        <v>271.14</v>
      </c>
      <c r="L379" s="7" t="n">
        <v>15454.81</v>
      </c>
      <c r="M379" s="7" t="inlineStr">
        <is>
          <t>Overdue</t>
        </is>
      </c>
    </row>
    <row r="380">
      <c r="A380" s="7" t="inlineStr">
        <is>
          <t>PO-00009</t>
        </is>
      </c>
      <c r="B380" s="9" t="n">
        <v>45894</v>
      </c>
      <c r="C380" s="7" t="inlineStr">
        <is>
          <t>Goods Receipt</t>
        </is>
      </c>
      <c r="D380" s="7" t="inlineStr">
        <is>
          <t>SUP007</t>
        </is>
      </c>
      <c r="E380" s="7" t="inlineStr">
        <is>
          <t>BrightClean Facilities</t>
        </is>
      </c>
      <c r="F380" s="7" t="inlineStr">
        <is>
          <t>Facilities</t>
        </is>
      </c>
      <c r="G380" s="7" t="inlineStr">
        <is>
          <t>Cleaning services</t>
        </is>
      </c>
      <c r="H380" s="7" t="inlineStr">
        <is>
          <t>Technology</t>
        </is>
      </c>
      <c r="I380" s="7" t="inlineStr">
        <is>
          <t>North</t>
        </is>
      </c>
      <c r="J380" s="7" t="n">
        <v>89</v>
      </c>
      <c r="K380" s="7" t="n">
        <v>187.26</v>
      </c>
      <c r="L380" s="7" t="n">
        <v>16665.99</v>
      </c>
      <c r="M380" s="7" t="inlineStr">
        <is>
          <t>Paid</t>
        </is>
      </c>
    </row>
    <row r="381">
      <c r="A381" s="7" t="inlineStr">
        <is>
          <t>PO-00441</t>
        </is>
      </c>
      <c r="B381" s="9" t="n">
        <v>45895</v>
      </c>
      <c r="C381" s="7" t="inlineStr">
        <is>
          <t>Invoice</t>
        </is>
      </c>
      <c r="D381" s="7" t="inlineStr">
        <is>
          <t>SUP001</t>
        </is>
      </c>
      <c r="E381" s="7" t="inlineStr">
        <is>
          <t>Apex Office Supplies</t>
        </is>
      </c>
      <c r="F381" s="7" t="inlineStr">
        <is>
          <t>Office Supplies</t>
        </is>
      </c>
      <c r="G381" s="7" t="inlineStr">
        <is>
          <t>Pens and stationery</t>
        </is>
      </c>
      <c r="H381" s="7" t="inlineStr">
        <is>
          <t>Technology</t>
        </is>
      </c>
      <c r="I381" s="7" t="inlineStr">
        <is>
          <t>West</t>
        </is>
      </c>
      <c r="J381" s="7" t="n">
        <v>6</v>
      </c>
      <c r="K381" s="7" t="n">
        <v>540.61</v>
      </c>
      <c r="L381" s="7" t="n">
        <v>3243.67</v>
      </c>
      <c r="M381" s="7" t="inlineStr">
        <is>
          <t>Overdue</t>
        </is>
      </c>
    </row>
    <row r="382">
      <c r="A382" s="7" t="inlineStr">
        <is>
          <t>PO-00060</t>
        </is>
      </c>
      <c r="B382" s="9" t="n">
        <v>45896</v>
      </c>
      <c r="C382" s="7" t="inlineStr">
        <is>
          <t>Goods Receipt</t>
        </is>
      </c>
      <c r="D382" s="7" t="inlineStr">
        <is>
          <t>SUP007</t>
        </is>
      </c>
      <c r="E382" s="7" t="inlineStr">
        <is>
          <t>BrightClean Facilities</t>
        </is>
      </c>
      <c r="F382" s="7" t="inlineStr">
        <is>
          <t>Utilities</t>
        </is>
      </c>
      <c r="G382" s="7" t="inlineStr">
        <is>
          <t>Natural gas</t>
        </is>
      </c>
      <c r="H382" s="7" t="inlineStr">
        <is>
          <t>Corporate</t>
        </is>
      </c>
      <c r="I382" s="7" t="inlineStr">
        <is>
          <t>West</t>
        </is>
      </c>
      <c r="J382" s="7" t="n">
        <v>99</v>
      </c>
      <c r="K382" s="7" t="n">
        <v>71.55</v>
      </c>
      <c r="L382" s="7" t="n">
        <v>7083.85</v>
      </c>
      <c r="M382" s="7" t="inlineStr">
        <is>
          <t>Pending</t>
        </is>
      </c>
    </row>
    <row r="383">
      <c r="A383" s="7" t="inlineStr">
        <is>
          <t>PO-00014</t>
        </is>
      </c>
      <c r="B383" s="9" t="n">
        <v>45897</v>
      </c>
      <c r="C383" s="7" t="inlineStr">
        <is>
          <t>Goods Receipt</t>
        </is>
      </c>
      <c r="D383" s="7" t="inlineStr">
        <is>
          <t>SUP009</t>
        </is>
      </c>
      <c r="E383" s="7" t="inlineStr">
        <is>
          <t>Summit Consulting</t>
        </is>
      </c>
      <c r="F383" s="7" t="inlineStr">
        <is>
          <t>Professional Services</t>
        </is>
      </c>
      <c r="G383" s="7" t="inlineStr">
        <is>
          <t>Audit support</t>
        </is>
      </c>
      <c r="H383" s="7" t="inlineStr">
        <is>
          <t>Corporate</t>
        </is>
      </c>
      <c r="I383" s="7" t="inlineStr">
        <is>
          <t>East</t>
        </is>
      </c>
      <c r="J383" s="7" t="n">
        <v>2</v>
      </c>
      <c r="K383" s="7" t="n">
        <v>8509.92</v>
      </c>
      <c r="L383" s="7" t="n">
        <v>17019.85</v>
      </c>
      <c r="M383" s="7" t="inlineStr">
        <is>
          <t>Overdue</t>
        </is>
      </c>
    </row>
    <row r="384">
      <c r="A384" s="7" t="inlineStr">
        <is>
          <t>PO-00503</t>
        </is>
      </c>
      <c r="B384" s="9" t="n">
        <v>45898</v>
      </c>
      <c r="C384" s="7" t="inlineStr">
        <is>
          <t>Invoice</t>
        </is>
      </c>
      <c r="D384" s="7" t="inlineStr">
        <is>
          <t>SUP008</t>
        </is>
      </c>
      <c r="E384" s="7" t="inlineStr">
        <is>
          <t>GreenLeaf Packaging</t>
        </is>
      </c>
      <c r="F384" s="7" t="inlineStr">
        <is>
          <t>Packaging</t>
        </is>
      </c>
      <c r="G384" s="7" t="inlineStr">
        <is>
          <t>Corrugated boxes</t>
        </is>
      </c>
      <c r="H384" s="7" t="inlineStr">
        <is>
          <t>Manufacturing</t>
        </is>
      </c>
      <c r="I384" s="7" t="inlineStr">
        <is>
          <t>East</t>
        </is>
      </c>
      <c r="J384" s="7" t="n">
        <v>84</v>
      </c>
      <c r="K384" s="7" t="n">
        <v>9.92</v>
      </c>
      <c r="L384" s="7" t="n">
        <v>833.5</v>
      </c>
      <c r="M384" s="7" t="inlineStr">
        <is>
          <t>Overdue</t>
        </is>
      </c>
    </row>
    <row r="385">
      <c r="A385" s="7" t="inlineStr">
        <is>
          <t>PO-00178</t>
        </is>
      </c>
      <c r="B385" s="9" t="n">
        <v>45898</v>
      </c>
      <c r="C385" s="7" t="inlineStr">
        <is>
          <t>Invoice</t>
        </is>
      </c>
      <c r="D385" s="7" t="inlineStr">
        <is>
          <t>SUP008</t>
        </is>
      </c>
      <c r="E385" s="7" t="inlineStr">
        <is>
          <t>GreenLeaf Packaging</t>
        </is>
      </c>
      <c r="F385" s="7" t="inlineStr">
        <is>
          <t>Packaging</t>
        </is>
      </c>
      <c r="G385" s="7" t="inlineStr">
        <is>
          <t>Corrugated boxes</t>
        </is>
      </c>
      <c r="H385" s="7" t="inlineStr">
        <is>
          <t>Operations</t>
        </is>
      </c>
      <c r="I385" s="7" t="inlineStr">
        <is>
          <t>West</t>
        </is>
      </c>
      <c r="J385" s="7" t="n">
        <v>3</v>
      </c>
      <c r="K385" s="7" t="n">
        <v>5438.91</v>
      </c>
      <c r="L385" s="7" t="n">
        <v>16316.73</v>
      </c>
      <c r="M385" s="7" t="inlineStr">
        <is>
          <t>Paid</t>
        </is>
      </c>
    </row>
    <row r="386">
      <c r="A386" s="7" t="inlineStr">
        <is>
          <t>PO-00248</t>
        </is>
      </c>
      <c r="B386" s="9" t="n">
        <v>45899</v>
      </c>
      <c r="C386" s="7" t="inlineStr">
        <is>
          <t>Goods Receipt</t>
        </is>
      </c>
      <c r="D386" s="7" t="inlineStr">
        <is>
          <t>SUP001</t>
        </is>
      </c>
      <c r="E386" s="7" t="inlineStr">
        <is>
          <t>Apex Office Supplies</t>
        </is>
      </c>
      <c r="F386" s="7" t="inlineStr">
        <is>
          <t>Office Supplies</t>
        </is>
      </c>
      <c r="G386" s="7" t="inlineStr">
        <is>
          <t>Toner cartridges</t>
        </is>
      </c>
      <c r="H386" s="7" t="inlineStr">
        <is>
          <t>Sales</t>
        </is>
      </c>
      <c r="I386" s="7" t="inlineStr">
        <is>
          <t>East</t>
        </is>
      </c>
      <c r="J386" s="7" t="n">
        <v>18</v>
      </c>
      <c r="K386" s="7" t="n">
        <v>185.45</v>
      </c>
      <c r="L386" s="7" t="n">
        <v>3338.07</v>
      </c>
      <c r="M386" s="7" t="inlineStr">
        <is>
          <t>Pending</t>
        </is>
      </c>
    </row>
    <row r="387">
      <c r="A387" s="7" t="inlineStr">
        <is>
          <t>PO-00524</t>
        </is>
      </c>
      <c r="B387" s="9" t="n">
        <v>45899</v>
      </c>
      <c r="C387" s="7" t="inlineStr">
        <is>
          <t>Invoice</t>
        </is>
      </c>
      <c r="D387" s="7" t="inlineStr">
        <is>
          <t>SUP010</t>
        </is>
      </c>
      <c r="E387" s="7" t="inlineStr">
        <is>
          <t>Urban Energy Solutions</t>
        </is>
      </c>
      <c r="F387" s="7" t="inlineStr">
        <is>
          <t>Utilities</t>
        </is>
      </c>
      <c r="G387" s="7" t="inlineStr">
        <is>
          <t>Electricity</t>
        </is>
      </c>
      <c r="H387" s="7" t="inlineStr">
        <is>
          <t>Manufacturing</t>
        </is>
      </c>
      <c r="I387" s="7" t="inlineStr">
        <is>
          <t>North</t>
        </is>
      </c>
      <c r="J387" s="7" t="n">
        <v>29</v>
      </c>
      <c r="K387" s="7" t="n">
        <v>43.65</v>
      </c>
      <c r="L387" s="7" t="n">
        <v>1265.76</v>
      </c>
      <c r="M387" s="7" t="inlineStr">
        <is>
          <t>Overdue</t>
        </is>
      </c>
    </row>
    <row r="388">
      <c r="A388" s="7" t="inlineStr">
        <is>
          <t>PO-00558</t>
        </is>
      </c>
      <c r="B388" s="9" t="n">
        <v>45901</v>
      </c>
      <c r="C388" s="7" t="inlineStr">
        <is>
          <t>Goods Receipt</t>
        </is>
      </c>
      <c r="D388" s="7" t="inlineStr">
        <is>
          <t>SUP008</t>
        </is>
      </c>
      <c r="E388" s="7" t="inlineStr">
        <is>
          <t>GreenLeaf Packaging</t>
        </is>
      </c>
      <c r="F388" s="7" t="inlineStr">
        <is>
          <t>Packaging</t>
        </is>
      </c>
      <c r="G388" s="7" t="inlineStr">
        <is>
          <t>Protective packaging</t>
        </is>
      </c>
      <c r="H388" s="7" t="inlineStr">
        <is>
          <t>Operations</t>
        </is>
      </c>
      <c r="I388" s="7" t="inlineStr">
        <is>
          <t>South</t>
        </is>
      </c>
      <c r="J388" s="7" t="n">
        <v>35</v>
      </c>
      <c r="K388" s="7" t="n">
        <v>279.59</v>
      </c>
      <c r="L388" s="7" t="n">
        <v>9785.639999999999</v>
      </c>
      <c r="M388" s="7" t="inlineStr">
        <is>
          <t>Overdue</t>
        </is>
      </c>
    </row>
    <row r="389">
      <c r="A389" s="7" t="inlineStr">
        <is>
          <t>PO-00222</t>
        </is>
      </c>
      <c r="B389" s="9" t="n">
        <v>45903</v>
      </c>
      <c r="C389" s="7" t="inlineStr">
        <is>
          <t>Invoice</t>
        </is>
      </c>
      <c r="D389" s="7" t="inlineStr">
        <is>
          <t>SUP003</t>
        </is>
      </c>
      <c r="E389" s="7" t="inlineStr">
        <is>
          <t>Northstar IT Services</t>
        </is>
      </c>
      <c r="F389" s="7" t="inlineStr">
        <is>
          <t>IT Services</t>
        </is>
      </c>
      <c r="G389" s="7" t="inlineStr">
        <is>
          <t>Software support</t>
        </is>
      </c>
      <c r="H389" s="7" t="inlineStr">
        <is>
          <t>Operations</t>
        </is>
      </c>
      <c r="I389" s="7" t="inlineStr">
        <is>
          <t>North</t>
        </is>
      </c>
      <c r="J389" s="7" t="n">
        <v>100</v>
      </c>
      <c r="K389" s="7" t="n">
        <v>221.25</v>
      </c>
      <c r="L389" s="7" t="n">
        <v>22125.07</v>
      </c>
      <c r="M389" s="7" t="inlineStr">
        <is>
          <t>Overdue</t>
        </is>
      </c>
    </row>
    <row r="390">
      <c r="A390" s="7" t="inlineStr">
        <is>
          <t>PO-00083</t>
        </is>
      </c>
      <c r="B390" s="9" t="n">
        <v>45903</v>
      </c>
      <c r="C390" s="7" t="inlineStr">
        <is>
          <t>Invoice</t>
        </is>
      </c>
      <c r="D390" s="7" t="inlineStr">
        <is>
          <t>SUP008</t>
        </is>
      </c>
      <c r="E390" s="7" t="inlineStr">
        <is>
          <t>GreenLeaf Packaging</t>
        </is>
      </c>
      <c r="F390" s="7" t="inlineStr">
        <is>
          <t>Packaging</t>
        </is>
      </c>
      <c r="G390" s="7" t="inlineStr">
        <is>
          <t>Corrugated boxes</t>
        </is>
      </c>
      <c r="H390" s="7" t="inlineStr">
        <is>
          <t>Corporate</t>
        </is>
      </c>
      <c r="I390" s="7" t="inlineStr">
        <is>
          <t>West</t>
        </is>
      </c>
      <c r="J390" s="7" t="n">
        <v>33</v>
      </c>
      <c r="K390" s="7" t="n">
        <v>526.76</v>
      </c>
      <c r="L390" s="7" t="n">
        <v>17383.1</v>
      </c>
      <c r="M390" s="7" t="inlineStr">
        <is>
          <t>Pending</t>
        </is>
      </c>
    </row>
    <row r="391">
      <c r="A391" s="7" t="inlineStr">
        <is>
          <t>PO-00386</t>
        </is>
      </c>
      <c r="B391" s="9" t="n">
        <v>45903</v>
      </c>
      <c r="C391" s="7" t="inlineStr">
        <is>
          <t>Invoice</t>
        </is>
      </c>
      <c r="D391" s="7" t="inlineStr">
        <is>
          <t>SUP010</t>
        </is>
      </c>
      <c r="E391" s="7" t="inlineStr">
        <is>
          <t>Urban Energy Solutions</t>
        </is>
      </c>
      <c r="F391" s="7" t="inlineStr">
        <is>
          <t>Utilities</t>
        </is>
      </c>
      <c r="G391" s="7" t="inlineStr">
        <is>
          <t>Electricity</t>
        </is>
      </c>
      <c r="H391" s="7" t="inlineStr">
        <is>
          <t>Corporate</t>
        </is>
      </c>
      <c r="I391" s="7" t="inlineStr">
        <is>
          <t>East</t>
        </is>
      </c>
      <c r="J391" s="7" t="n">
        <v>21</v>
      </c>
      <c r="K391" s="7" t="n">
        <v>590.78</v>
      </c>
      <c r="L391" s="7" t="n">
        <v>12406.43</v>
      </c>
      <c r="M391" s="7" t="inlineStr">
        <is>
          <t>Paid</t>
        </is>
      </c>
    </row>
    <row r="392">
      <c r="A392" s="7" t="inlineStr">
        <is>
          <t>PO-00439</t>
        </is>
      </c>
      <c r="B392" s="9" t="n">
        <v>45904</v>
      </c>
      <c r="C392" s="7" t="inlineStr">
        <is>
          <t>Purchase Order</t>
        </is>
      </c>
      <c r="D392" s="7" t="inlineStr">
        <is>
          <t>SUP006</t>
        </is>
      </c>
      <c r="E392" s="7" t="inlineStr">
        <is>
          <t>Metro Logistics Pvt Ltd</t>
        </is>
      </c>
      <c r="F392" s="7" t="inlineStr">
        <is>
          <t>Logistics</t>
        </is>
      </c>
      <c r="G392" s="7" t="inlineStr">
        <is>
          <t>Warehouse handling</t>
        </is>
      </c>
      <c r="H392" s="7" t="inlineStr">
        <is>
          <t>Sales</t>
        </is>
      </c>
      <c r="I392" s="7" t="inlineStr">
        <is>
          <t>South</t>
        </is>
      </c>
      <c r="J392" s="7" t="n">
        <v>12</v>
      </c>
      <c r="K392" s="7" t="n">
        <v>49.29</v>
      </c>
      <c r="L392" s="7" t="n">
        <v>591.53</v>
      </c>
      <c r="M392" s="7" t="inlineStr">
        <is>
          <t>Paid</t>
        </is>
      </c>
    </row>
    <row r="393">
      <c r="A393" s="7" t="inlineStr">
        <is>
          <t>PO-00560</t>
        </is>
      </c>
      <c r="B393" s="9" t="n">
        <v>45904</v>
      </c>
      <c r="C393" s="7" t="inlineStr">
        <is>
          <t>Invoice</t>
        </is>
      </c>
      <c r="D393" s="7" t="inlineStr">
        <is>
          <t>SUP009</t>
        </is>
      </c>
      <c r="E393" s="7" t="inlineStr">
        <is>
          <t>Summit Consulting</t>
        </is>
      </c>
      <c r="F393" s="7" t="inlineStr">
        <is>
          <t>Professional Services</t>
        </is>
      </c>
      <c r="G393" s="7" t="inlineStr">
        <is>
          <t>Training services</t>
        </is>
      </c>
      <c r="H393" s="7" t="inlineStr">
        <is>
          <t>Technology</t>
        </is>
      </c>
      <c r="I393" s="7" t="inlineStr">
        <is>
          <t>South</t>
        </is>
      </c>
      <c r="J393" s="7" t="n">
        <v>40</v>
      </c>
      <c r="K393" s="7" t="n">
        <v>73.15000000000001</v>
      </c>
      <c r="L393" s="7" t="n">
        <v>2926.08</v>
      </c>
      <c r="M393" s="7" t="inlineStr">
        <is>
          <t>Pending</t>
        </is>
      </c>
    </row>
    <row r="394">
      <c r="A394" s="7" t="inlineStr">
        <is>
          <t>PO-00532</t>
        </is>
      </c>
      <c r="B394" s="9" t="n">
        <v>45905</v>
      </c>
      <c r="C394" s="7" t="inlineStr">
        <is>
          <t>Goods Receipt</t>
        </is>
      </c>
      <c r="D394" s="7" t="inlineStr">
        <is>
          <t>SUP004</t>
        </is>
      </c>
      <c r="E394" s="7" t="inlineStr">
        <is>
          <t>North Star IT Svc</t>
        </is>
      </c>
      <c r="F394" s="7" t="inlineStr">
        <is>
          <t>IT Services</t>
        </is>
      </c>
      <c r="G394" s="7" t="inlineStr">
        <is>
          <t>Cloud services</t>
        </is>
      </c>
      <c r="H394" s="7" t="inlineStr">
        <is>
          <t>Manufacturing</t>
        </is>
      </c>
      <c r="I394" s="7" t="inlineStr">
        <is>
          <t>North</t>
        </is>
      </c>
      <c r="J394" s="7" t="n">
        <v>59</v>
      </c>
      <c r="K394" s="7" t="n">
        <v>498.67</v>
      </c>
      <c r="L394" s="7" t="n">
        <v>29421.81</v>
      </c>
      <c r="M394" s="7" t="inlineStr">
        <is>
          <t>Pending</t>
        </is>
      </c>
    </row>
    <row r="395">
      <c r="A395" s="7" t="inlineStr">
        <is>
          <t>PO-00080</t>
        </is>
      </c>
      <c r="B395" s="9" t="n">
        <v>45905</v>
      </c>
      <c r="C395" s="7" t="inlineStr">
        <is>
          <t>Goods Receipt</t>
        </is>
      </c>
      <c r="D395" s="7" t="inlineStr">
        <is>
          <t>SUP005</t>
        </is>
      </c>
      <c r="E395" s="7" t="inlineStr">
        <is>
          <t>Metro Logistics</t>
        </is>
      </c>
      <c r="F395" s="7" t="inlineStr">
        <is>
          <t>Logistics</t>
        </is>
      </c>
      <c r="G395" s="7" t="inlineStr">
        <is>
          <t>Courier services</t>
        </is>
      </c>
      <c r="H395" s="7" t="inlineStr">
        <is>
          <t>Corporate</t>
        </is>
      </c>
      <c r="I395" s="7" t="inlineStr">
        <is>
          <t>South</t>
        </is>
      </c>
      <c r="J395" s="7" t="n">
        <v>68</v>
      </c>
      <c r="K395" s="7" t="n">
        <v>439.54</v>
      </c>
      <c r="L395" s="7" t="n">
        <v>29888.95</v>
      </c>
      <c r="M395" s="7" t="inlineStr">
        <is>
          <t>Pending</t>
        </is>
      </c>
    </row>
    <row r="396">
      <c r="A396" s="7" t="inlineStr">
        <is>
          <t>PO-00460</t>
        </is>
      </c>
      <c r="B396" s="9" t="n">
        <v>45905</v>
      </c>
      <c r="C396" s="7" t="inlineStr">
        <is>
          <t>Goods Receipt</t>
        </is>
      </c>
      <c r="D396" s="7" t="inlineStr">
        <is>
          <t>SUP009</t>
        </is>
      </c>
      <c r="E396" s="7" t="inlineStr">
        <is>
          <t>Summit Consulting</t>
        </is>
      </c>
      <c r="F396" s="7" t="inlineStr">
        <is>
          <t>Professional Services</t>
        </is>
      </c>
      <c r="G396" s="7" t="inlineStr">
        <is>
          <t>Business consulting</t>
        </is>
      </c>
      <c r="H396" s="7" t="inlineStr">
        <is>
          <t>Operations</t>
        </is>
      </c>
      <c r="I396" s="7" t="inlineStr">
        <is>
          <t>North</t>
        </is>
      </c>
      <c r="J396" s="7" t="n">
        <v>89</v>
      </c>
      <c r="K396" s="7" t="n">
        <v>313.14</v>
      </c>
      <c r="L396" s="7" t="n">
        <v>27869.88</v>
      </c>
      <c r="M396" s="7" t="inlineStr">
        <is>
          <t>Pending</t>
        </is>
      </c>
    </row>
    <row r="397">
      <c r="A397" s="7" t="inlineStr">
        <is>
          <t>PO-00562</t>
        </is>
      </c>
      <c r="B397" s="9" t="n">
        <v>45909</v>
      </c>
      <c r="C397" s="7" t="inlineStr">
        <is>
          <t>Invoice</t>
        </is>
      </c>
      <c r="D397" s="7" t="inlineStr">
        <is>
          <t>SUP008</t>
        </is>
      </c>
      <c r="E397" s="7" t="inlineStr">
        <is>
          <t>GreenLeaf Packaging</t>
        </is>
      </c>
      <c r="F397" s="7" t="inlineStr">
        <is>
          <t>Packaging</t>
        </is>
      </c>
      <c r="G397" s="7" t="inlineStr">
        <is>
          <t>Labels</t>
        </is>
      </c>
      <c r="H397" s="7" t="inlineStr">
        <is>
          <t>Operations</t>
        </is>
      </c>
      <c r="I397" s="7" t="inlineStr">
        <is>
          <t>North</t>
        </is>
      </c>
      <c r="J397" s="7" t="n">
        <v>103</v>
      </c>
      <c r="K397" s="7" t="n">
        <v>134.11</v>
      </c>
      <c r="L397" s="7" t="n">
        <v>13813.74</v>
      </c>
      <c r="M397" s="7" t="inlineStr">
        <is>
          <t>Overdue</t>
        </is>
      </c>
    </row>
    <row r="398">
      <c r="A398" s="7" t="inlineStr">
        <is>
          <t>PO-00376</t>
        </is>
      </c>
      <c r="B398" s="9" t="n">
        <v>45909</v>
      </c>
      <c r="C398" s="7" t="inlineStr">
        <is>
          <t>Purchase Order</t>
        </is>
      </c>
      <c r="D398" s="7" t="inlineStr">
        <is>
          <t>SUP001</t>
        </is>
      </c>
      <c r="E398" s="7" t="inlineStr">
        <is>
          <t>Apex Office Supplies</t>
        </is>
      </c>
      <c r="F398" s="7" t="inlineStr">
        <is>
          <t>Office Supplies</t>
        </is>
      </c>
      <c r="G398" s="7" t="inlineStr">
        <is>
          <t>Toner cartridges</t>
        </is>
      </c>
      <c r="H398" s="7" t="inlineStr">
        <is>
          <t>Sales</t>
        </is>
      </c>
      <c r="I398" s="7" t="inlineStr">
        <is>
          <t>North</t>
        </is>
      </c>
      <c r="J398" s="7" t="n">
        <v>29</v>
      </c>
      <c r="K398" s="7" t="n">
        <v>147.56</v>
      </c>
      <c r="L398" s="7" t="n">
        <v>4279.31</v>
      </c>
      <c r="M398" s="7" t="inlineStr">
        <is>
          <t>Pending</t>
        </is>
      </c>
    </row>
    <row r="399">
      <c r="A399" s="7" t="inlineStr">
        <is>
          <t>PO-00288</t>
        </is>
      </c>
      <c r="B399" s="9" t="n">
        <v>45910</v>
      </c>
      <c r="C399" s="7" t="inlineStr">
        <is>
          <t>Invoice</t>
        </is>
      </c>
      <c r="D399" s="7" t="inlineStr">
        <is>
          <t>SUP003</t>
        </is>
      </c>
      <c r="E399" s="7" t="inlineStr">
        <is>
          <t>Northstar IT Services</t>
        </is>
      </c>
      <c r="F399" s="7" t="inlineStr">
        <is>
          <t>Utilities</t>
        </is>
      </c>
      <c r="G399" s="7" t="inlineStr">
        <is>
          <t>Electricity</t>
        </is>
      </c>
      <c r="H399" s="7" t="inlineStr">
        <is>
          <t>Technology</t>
        </is>
      </c>
      <c r="I399" s="7" t="inlineStr">
        <is>
          <t>East</t>
        </is>
      </c>
      <c r="J399" s="7" t="n">
        <v>39</v>
      </c>
      <c r="K399" s="7" t="n">
        <v>129.59</v>
      </c>
      <c r="L399" s="7" t="n">
        <v>5054.2</v>
      </c>
      <c r="M399" s="7" t="inlineStr">
        <is>
          <t>Paid</t>
        </is>
      </c>
    </row>
    <row r="400">
      <c r="A400" s="7" t="inlineStr">
        <is>
          <t>PO-00568</t>
        </is>
      </c>
      <c r="B400" s="9" t="n">
        <v>45910</v>
      </c>
      <c r="C400" s="7" t="inlineStr">
        <is>
          <t>Invoice</t>
        </is>
      </c>
      <c r="D400" s="7" t="inlineStr">
        <is>
          <t>SUP004</t>
        </is>
      </c>
      <c r="E400" s="7" t="inlineStr">
        <is>
          <t>North Star IT Svc</t>
        </is>
      </c>
      <c r="F400" s="7" t="inlineStr">
        <is>
          <t>IT Services</t>
        </is>
      </c>
      <c r="G400" s="7" t="inlineStr">
        <is>
          <t>Cloud services</t>
        </is>
      </c>
      <c r="H400" s="7" t="inlineStr">
        <is>
          <t>Sales</t>
        </is>
      </c>
      <c r="I400" s="7" t="inlineStr">
        <is>
          <t>North</t>
        </is>
      </c>
      <c r="J400" s="7" t="n">
        <v>103</v>
      </c>
      <c r="K400" s="7" t="n">
        <v>93.93000000000001</v>
      </c>
      <c r="L400" s="7" t="n">
        <v>9674.68</v>
      </c>
      <c r="M400" s="7" t="inlineStr">
        <is>
          <t>Pending</t>
        </is>
      </c>
    </row>
    <row r="401">
      <c r="A401" s="7" t="inlineStr">
        <is>
          <t>PO-00257</t>
        </is>
      </c>
      <c r="B401" s="9" t="n">
        <v>45911</v>
      </c>
      <c r="C401" s="7" t="inlineStr">
        <is>
          <t>Invoice</t>
        </is>
      </c>
      <c r="D401" s="7" t="inlineStr">
        <is>
          <t>SUP001</t>
        </is>
      </c>
      <c r="E401" s="7" t="inlineStr">
        <is>
          <t>Apex Office Supplies</t>
        </is>
      </c>
      <c r="F401" s="7" t="inlineStr">
        <is>
          <t>Office Supplies</t>
        </is>
      </c>
      <c r="G401" s="7" t="inlineStr">
        <is>
          <t>Toner cartridges</t>
        </is>
      </c>
      <c r="H401" s="7" t="inlineStr">
        <is>
          <t>Technology</t>
        </is>
      </c>
      <c r="I401" s="7" t="inlineStr">
        <is>
          <t>West</t>
        </is>
      </c>
      <c r="J401" s="7" t="n">
        <v>86</v>
      </c>
      <c r="K401" s="7" t="n">
        <v>197.16</v>
      </c>
      <c r="L401" s="7" t="n">
        <v>16955.57</v>
      </c>
      <c r="M401" s="7" t="inlineStr">
        <is>
          <t>Pending</t>
        </is>
      </c>
    </row>
    <row r="402">
      <c r="A402" s="7" t="inlineStr">
        <is>
          <t>PO-00152</t>
        </is>
      </c>
      <c r="B402" s="9" t="n">
        <v>45912</v>
      </c>
      <c r="C402" s="7" t="inlineStr">
        <is>
          <t>Goods Receipt</t>
        </is>
      </c>
      <c r="D402" s="7" t="inlineStr">
        <is>
          <t>SUP012</t>
        </is>
      </c>
      <c r="E402" s="7" t="inlineStr">
        <is>
          <t>Pioneer Hardware</t>
        </is>
      </c>
      <c r="F402" s="7" t="inlineStr"/>
      <c r="G402" s="7" t="inlineStr">
        <is>
          <t>Repair parts</t>
        </is>
      </c>
      <c r="H402" s="7" t="inlineStr">
        <is>
          <t>Manufacturing</t>
        </is>
      </c>
      <c r="I402" s="7" t="inlineStr">
        <is>
          <t>East</t>
        </is>
      </c>
      <c r="J402" s="7" t="n">
        <v>69</v>
      </c>
      <c r="K402" s="7" t="n">
        <v>35.22</v>
      </c>
      <c r="L402" s="7" t="n">
        <v>2429.84</v>
      </c>
      <c r="M402" s="7" t="inlineStr">
        <is>
          <t>Paid</t>
        </is>
      </c>
    </row>
    <row r="403">
      <c r="A403" s="7" t="inlineStr">
        <is>
          <t>PO-00180</t>
        </is>
      </c>
      <c r="B403" s="9" t="n">
        <v>45913</v>
      </c>
      <c r="C403" s="7" t="inlineStr">
        <is>
          <t>Purchase Order</t>
        </is>
      </c>
      <c r="D403" s="7" t="inlineStr">
        <is>
          <t>SUP010</t>
        </is>
      </c>
      <c r="E403" s="7" t="inlineStr">
        <is>
          <t>Urban Energy Solutions</t>
        </is>
      </c>
      <c r="F403" s="7" t="inlineStr">
        <is>
          <t>Utilities</t>
        </is>
      </c>
      <c r="G403" s="7" t="inlineStr">
        <is>
          <t>Natural gas</t>
        </is>
      </c>
      <c r="H403" s="7" t="inlineStr">
        <is>
          <t>Operations</t>
        </is>
      </c>
      <c r="I403" s="7" t="inlineStr">
        <is>
          <t>East</t>
        </is>
      </c>
      <c r="J403" s="7" t="n">
        <v>74</v>
      </c>
      <c r="K403" s="7" t="n">
        <v>154.32</v>
      </c>
      <c r="L403" s="7" t="n">
        <v>11419.35</v>
      </c>
      <c r="M403" s="7" t="inlineStr">
        <is>
          <t>Pending</t>
        </is>
      </c>
    </row>
    <row r="404">
      <c r="A404" s="7" t="inlineStr">
        <is>
          <t>PO-00011</t>
        </is>
      </c>
      <c r="B404" s="9" t="n">
        <v>45913</v>
      </c>
      <c r="C404" s="7" t="inlineStr">
        <is>
          <t>Invoice</t>
        </is>
      </c>
      <c r="D404" s="7" t="inlineStr">
        <is>
          <t>SUP007</t>
        </is>
      </c>
      <c r="E404" s="7" t="inlineStr">
        <is>
          <t>BrightClean Facilities</t>
        </is>
      </c>
      <c r="F404" s="7" t="inlineStr">
        <is>
          <t>Facilities</t>
        </is>
      </c>
      <c r="G404" s="7" t="inlineStr">
        <is>
          <t>Cleaning services</t>
        </is>
      </c>
      <c r="H404" s="7" t="inlineStr">
        <is>
          <t>Operations</t>
        </is>
      </c>
      <c r="I404" s="7" t="inlineStr">
        <is>
          <t>East</t>
        </is>
      </c>
      <c r="J404" s="7" t="n">
        <v>19</v>
      </c>
      <c r="K404" s="7" t="n">
        <v>611.27</v>
      </c>
      <c r="L404" s="7" t="n">
        <v>11614.19</v>
      </c>
      <c r="M404" s="7" t="inlineStr">
        <is>
          <t>Overdue</t>
        </is>
      </c>
    </row>
    <row r="405">
      <c r="A405" s="7" t="inlineStr">
        <is>
          <t>PO-00241</t>
        </is>
      </c>
      <c r="B405" s="9" t="n">
        <v>45915</v>
      </c>
      <c r="C405" s="7" t="inlineStr">
        <is>
          <t>Invoice</t>
        </is>
      </c>
      <c r="D405" s="7" t="inlineStr">
        <is>
          <t>SUP012</t>
        </is>
      </c>
      <c r="E405" s="7" t="inlineStr">
        <is>
          <t>Pioneer Hardware</t>
        </is>
      </c>
      <c r="F405" s="7" t="inlineStr">
        <is>
          <t>Maintenance</t>
        </is>
      </c>
      <c r="G405" s="7" t="inlineStr">
        <is>
          <t>Equipment servicing</t>
        </is>
      </c>
      <c r="H405" s="7" t="inlineStr">
        <is>
          <t>Manufacturing</t>
        </is>
      </c>
      <c r="I405" s="7" t="inlineStr">
        <is>
          <t>South</t>
        </is>
      </c>
      <c r="J405" s="7" t="n">
        <v>82</v>
      </c>
      <c r="K405" s="7" t="n">
        <v>151.98</v>
      </c>
      <c r="L405" s="7" t="n">
        <v>12462.39</v>
      </c>
      <c r="M405" s="7" t="inlineStr">
        <is>
          <t>Paid</t>
        </is>
      </c>
    </row>
    <row r="406">
      <c r="A406" s="7" t="inlineStr">
        <is>
          <t>PO-00500</t>
        </is>
      </c>
      <c r="B406" s="9" t="n">
        <v>45915</v>
      </c>
      <c r="C406" s="7" t="inlineStr">
        <is>
          <t>Goods Receipt</t>
        </is>
      </c>
      <c r="D406" s="7" t="inlineStr">
        <is>
          <t>SUP001</t>
        </is>
      </c>
      <c r="E406" s="7" t="inlineStr">
        <is>
          <t>Apex Office Supplies</t>
        </is>
      </c>
      <c r="F406" s="7" t="inlineStr">
        <is>
          <t>Office Supplies</t>
        </is>
      </c>
      <c r="G406" s="7" t="inlineStr">
        <is>
          <t>Toner cartridges</t>
        </is>
      </c>
      <c r="H406" s="7" t="inlineStr">
        <is>
          <t>Operations</t>
        </is>
      </c>
      <c r="I406" s="7" t="inlineStr">
        <is>
          <t>South</t>
        </is>
      </c>
      <c r="J406" s="7" t="n">
        <v>104</v>
      </c>
      <c r="K406" s="7" t="n">
        <v>146.94</v>
      </c>
      <c r="L406" s="7" t="n">
        <v>15281.92</v>
      </c>
      <c r="M406" s="7" t="inlineStr">
        <is>
          <t>Pending</t>
        </is>
      </c>
    </row>
    <row r="407">
      <c r="A407" s="7" t="inlineStr">
        <is>
          <t>PO-00272</t>
        </is>
      </c>
      <c r="B407" s="9" t="n">
        <v>45915</v>
      </c>
      <c r="C407" s="7" t="inlineStr">
        <is>
          <t>Purchase Order</t>
        </is>
      </c>
      <c r="D407" s="7" t="inlineStr">
        <is>
          <t>SUP012</t>
        </is>
      </c>
      <c r="E407" s="7" t="inlineStr">
        <is>
          <t>Pioneer Hardware</t>
        </is>
      </c>
      <c r="F407" s="7" t="inlineStr">
        <is>
          <t>Maintenance</t>
        </is>
      </c>
      <c r="G407" s="7" t="inlineStr">
        <is>
          <t>Repair parts</t>
        </is>
      </c>
      <c r="H407" s="7" t="inlineStr">
        <is>
          <t>Corporate</t>
        </is>
      </c>
      <c r="I407" s="7" t="inlineStr">
        <is>
          <t>South</t>
        </is>
      </c>
      <c r="J407" s="7" t="n">
        <v>117</v>
      </c>
      <c r="K407" s="7" t="n">
        <v>124.22</v>
      </c>
      <c r="L407" s="7" t="n">
        <v>14534.28</v>
      </c>
      <c r="M407" s="7" t="inlineStr">
        <is>
          <t>Paid</t>
        </is>
      </c>
    </row>
    <row r="408">
      <c r="A408" s="7" t="inlineStr">
        <is>
          <t>PO-00236</t>
        </is>
      </c>
      <c r="B408" s="9" t="n">
        <v>45916</v>
      </c>
      <c r="C408" s="7" t="inlineStr">
        <is>
          <t>Purchase Order</t>
        </is>
      </c>
      <c r="D408" s="7" t="inlineStr">
        <is>
          <t>SUP008</t>
        </is>
      </c>
      <c r="E408" s="7" t="inlineStr">
        <is>
          <t>GreenLeaf Packaging</t>
        </is>
      </c>
      <c r="F408" s="7" t="inlineStr">
        <is>
          <t>Packaging</t>
        </is>
      </c>
      <c r="G408" s="7" t="inlineStr">
        <is>
          <t>Labels</t>
        </is>
      </c>
      <c r="H408" s="7" t="inlineStr">
        <is>
          <t>Sales</t>
        </is>
      </c>
      <c r="I408" s="7" t="inlineStr">
        <is>
          <t>East</t>
        </is>
      </c>
      <c r="J408" s="7" t="n">
        <v>43</v>
      </c>
      <c r="K408" s="7" t="n">
        <v>339.11</v>
      </c>
      <c r="L408" s="7" t="n">
        <v>14581.59</v>
      </c>
      <c r="M408" s="7" t="inlineStr">
        <is>
          <t>Overdue</t>
        </is>
      </c>
    </row>
    <row r="409">
      <c r="A409" s="7" t="inlineStr">
        <is>
          <t>PO-00213</t>
        </is>
      </c>
      <c r="B409" s="9" t="n">
        <v>45916</v>
      </c>
      <c r="C409" s="7" t="inlineStr">
        <is>
          <t>Purchase Order</t>
        </is>
      </c>
      <c r="D409" s="7" t="inlineStr">
        <is>
          <t>SUP008</t>
        </is>
      </c>
      <c r="E409" s="7" t="inlineStr">
        <is>
          <t>GreenLeaf Packaging</t>
        </is>
      </c>
      <c r="F409" s="7" t="inlineStr">
        <is>
          <t>Packaging</t>
        </is>
      </c>
      <c r="G409" s="7" t="inlineStr">
        <is>
          <t>Corrugated boxes</t>
        </is>
      </c>
      <c r="H409" s="7" t="inlineStr">
        <is>
          <t>Technology</t>
        </is>
      </c>
      <c r="I409" s="7" t="inlineStr">
        <is>
          <t>West</t>
        </is>
      </c>
      <c r="J409" s="7" t="n">
        <v>46</v>
      </c>
      <c r="K409" s="7" t="n">
        <v>86.23</v>
      </c>
      <c r="L409" s="7" t="n">
        <v>3966.78</v>
      </c>
      <c r="M409" s="7" t="inlineStr">
        <is>
          <t>Overdue</t>
        </is>
      </c>
    </row>
    <row r="410">
      <c r="A410" s="7" t="inlineStr">
        <is>
          <t>PO-00160</t>
        </is>
      </c>
      <c r="B410" s="9" t="n">
        <v>45917</v>
      </c>
      <c r="C410" s="7" t="inlineStr">
        <is>
          <t>Invoice</t>
        </is>
      </c>
      <c r="D410" s="7" t="inlineStr">
        <is>
          <t>SUP002</t>
        </is>
      </c>
      <c r="E410" s="7" t="inlineStr">
        <is>
          <t>Apex Office Supply Ltd</t>
        </is>
      </c>
      <c r="F410" s="7" t="inlineStr">
        <is>
          <t>Office Supplies</t>
        </is>
      </c>
      <c r="G410" s="7" t="inlineStr">
        <is>
          <t>Pens and stationery</t>
        </is>
      </c>
      <c r="H410" s="7" t="inlineStr">
        <is>
          <t>Corporate</t>
        </is>
      </c>
      <c r="I410" s="7" t="inlineStr">
        <is>
          <t>North</t>
        </is>
      </c>
      <c r="J410" s="7" t="n">
        <v>8</v>
      </c>
      <c r="K410" s="7" t="n">
        <v>1025.03</v>
      </c>
      <c r="L410" s="7" t="n">
        <v>8200.219999999999</v>
      </c>
      <c r="M410" s="7" t="inlineStr">
        <is>
          <t>Overdue</t>
        </is>
      </c>
    </row>
    <row r="411">
      <c r="A411" s="7" t="inlineStr">
        <is>
          <t>PO-00440</t>
        </is>
      </c>
      <c r="B411" s="9" t="n">
        <v>45919</v>
      </c>
      <c r="C411" s="7" t="inlineStr">
        <is>
          <t>Goods Receipt</t>
        </is>
      </c>
      <c r="D411" s="7" t="inlineStr">
        <is>
          <t>SUP002</t>
        </is>
      </c>
      <c r="E411" s="7" t="inlineStr">
        <is>
          <t>Apex Office Supply Ltd</t>
        </is>
      </c>
      <c r="F411" s="7" t="inlineStr">
        <is>
          <t>Office Supplies</t>
        </is>
      </c>
      <c r="G411" s="7" t="inlineStr">
        <is>
          <t>Printer paper</t>
        </is>
      </c>
      <c r="H411" s="7" t="inlineStr">
        <is>
          <t>Sales</t>
        </is>
      </c>
      <c r="I411" s="7" t="inlineStr">
        <is>
          <t>East</t>
        </is>
      </c>
      <c r="J411" s="7" t="n">
        <v>33</v>
      </c>
      <c r="K411" s="7" t="n">
        <v>58.52</v>
      </c>
      <c r="L411" s="7" t="n">
        <v>1931.07</v>
      </c>
      <c r="M411" s="7" t="inlineStr">
        <is>
          <t>Pending</t>
        </is>
      </c>
    </row>
    <row r="412">
      <c r="A412" s="7" t="inlineStr">
        <is>
          <t>PO-00342</t>
        </is>
      </c>
      <c r="B412" s="9" t="n">
        <v>45919</v>
      </c>
      <c r="C412" s="7" t="inlineStr">
        <is>
          <t>Invoice</t>
        </is>
      </c>
      <c r="D412" s="7" t="inlineStr">
        <is>
          <t>SUP004</t>
        </is>
      </c>
      <c r="E412" s="7" t="inlineStr">
        <is>
          <t>North Star IT Svc</t>
        </is>
      </c>
      <c r="F412" s="7" t="inlineStr">
        <is>
          <t>IT Services</t>
        </is>
      </c>
      <c r="G412" s="7" t="inlineStr">
        <is>
          <t>IT consulting</t>
        </is>
      </c>
      <c r="H412" s="7" t="inlineStr">
        <is>
          <t>Corporate</t>
        </is>
      </c>
      <c r="I412" s="7" t="inlineStr">
        <is>
          <t>East</t>
        </is>
      </c>
      <c r="J412" s="7" t="n">
        <v>42</v>
      </c>
      <c r="K412" s="7" t="n">
        <v>117.31</v>
      </c>
      <c r="L412" s="7" t="n">
        <v>4926.84</v>
      </c>
      <c r="M412" s="7" t="inlineStr">
        <is>
          <t>Overdue</t>
        </is>
      </c>
    </row>
    <row r="413">
      <c r="A413" s="7" t="inlineStr">
        <is>
          <t>PO-00469</t>
        </is>
      </c>
      <c r="B413" s="9" t="n">
        <v>45919</v>
      </c>
      <c r="C413" s="7" t="inlineStr">
        <is>
          <t>Invoice</t>
        </is>
      </c>
      <c r="D413" s="7" t="inlineStr">
        <is>
          <t>SUP012</t>
        </is>
      </c>
      <c r="E413" s="7" t="inlineStr">
        <is>
          <t>Pioneer Hardware</t>
        </is>
      </c>
      <c r="F413" s="7" t="inlineStr">
        <is>
          <t>Maintenance</t>
        </is>
      </c>
      <c r="G413" s="7" t="inlineStr">
        <is>
          <t>Equipment servicing</t>
        </is>
      </c>
      <c r="H413" s="7" t="inlineStr">
        <is>
          <t>Sales</t>
        </is>
      </c>
      <c r="I413" s="7" t="inlineStr">
        <is>
          <t>East</t>
        </is>
      </c>
      <c r="J413" s="7" t="n">
        <v>119</v>
      </c>
      <c r="K413" s="7" t="n">
        <v>100.85</v>
      </c>
      <c r="L413" s="7" t="n">
        <v>12001.15</v>
      </c>
      <c r="M413" s="7" t="inlineStr">
        <is>
          <t>Overdue</t>
        </is>
      </c>
    </row>
    <row r="414">
      <c r="A414" s="7" t="inlineStr">
        <is>
          <t>PO-00135</t>
        </is>
      </c>
      <c r="B414" s="9" t="n">
        <v>45920</v>
      </c>
      <c r="C414" s="7" t="inlineStr">
        <is>
          <t>Purchase Order</t>
        </is>
      </c>
      <c r="D414" s="7" t="inlineStr">
        <is>
          <t>SUP010</t>
        </is>
      </c>
      <c r="E414" s="7" t="inlineStr">
        <is>
          <t>Urban Energy Solutions</t>
        </is>
      </c>
      <c r="F414" s="7" t="inlineStr">
        <is>
          <t>Utilities</t>
        </is>
      </c>
      <c r="G414" s="7" t="inlineStr">
        <is>
          <t>Natural gas</t>
        </is>
      </c>
      <c r="H414" s="7" t="inlineStr">
        <is>
          <t>Manufacturing</t>
        </is>
      </c>
      <c r="I414" s="7" t="inlineStr">
        <is>
          <t>East</t>
        </is>
      </c>
      <c r="J414" s="7" t="n">
        <v>79</v>
      </c>
      <c r="K414" s="7" t="n">
        <v>115.55</v>
      </c>
      <c r="L414" s="7" t="n">
        <v>9128.639999999999</v>
      </c>
      <c r="M414" s="7" t="inlineStr">
        <is>
          <t>Pending</t>
        </is>
      </c>
    </row>
    <row r="415">
      <c r="A415" s="7" t="inlineStr">
        <is>
          <t>PO-00186</t>
        </is>
      </c>
      <c r="B415" s="9" t="n">
        <v>45921</v>
      </c>
      <c r="C415" s="7" t="inlineStr">
        <is>
          <t>Purchase Order</t>
        </is>
      </c>
      <c r="D415" s="7" t="inlineStr">
        <is>
          <t>SUP007</t>
        </is>
      </c>
      <c r="E415" s="7" t="inlineStr">
        <is>
          <t>BrightClean Facilities</t>
        </is>
      </c>
      <c r="F415" s="7" t="inlineStr">
        <is>
          <t>Facilities</t>
        </is>
      </c>
      <c r="G415" s="7" t="inlineStr">
        <is>
          <t>Security services</t>
        </is>
      </c>
      <c r="H415" s="7" t="inlineStr">
        <is>
          <t>Operations</t>
        </is>
      </c>
      <c r="I415" s="7" t="inlineStr">
        <is>
          <t>East</t>
        </is>
      </c>
      <c r="J415" s="7" t="n">
        <v>33</v>
      </c>
      <c r="K415" s="7" t="n">
        <v>297.86</v>
      </c>
      <c r="L415" s="7" t="n">
        <v>9829.389999999999</v>
      </c>
      <c r="M415" s="7" t="inlineStr">
        <is>
          <t>Pending</t>
        </is>
      </c>
    </row>
    <row r="416">
      <c r="A416" s="7" t="inlineStr">
        <is>
          <t>PO-00238</t>
        </is>
      </c>
      <c r="B416" s="9" t="n">
        <v>45921</v>
      </c>
      <c r="C416" s="7" t="inlineStr">
        <is>
          <t>Purchase Order</t>
        </is>
      </c>
      <c r="D416" s="7" t="inlineStr">
        <is>
          <t>SUP006</t>
        </is>
      </c>
      <c r="E416" s="7" t="inlineStr">
        <is>
          <t>Metro Logistics Pvt Ltd</t>
        </is>
      </c>
      <c r="F416" s="7" t="inlineStr">
        <is>
          <t>Logistics</t>
        </is>
      </c>
      <c r="G416" s="7" t="inlineStr">
        <is>
          <t>Courier services</t>
        </is>
      </c>
      <c r="H416" s="7" t="inlineStr">
        <is>
          <t>Technology</t>
        </is>
      </c>
      <c r="I416" s="7" t="inlineStr">
        <is>
          <t>South</t>
        </is>
      </c>
      <c r="J416" s="7" t="n">
        <v>24</v>
      </c>
      <c r="K416" s="7" t="n">
        <v>856.11</v>
      </c>
      <c r="L416" s="7" t="n">
        <v>20546.7</v>
      </c>
      <c r="M416" s="7" t="inlineStr">
        <is>
          <t>Paid</t>
        </is>
      </c>
    </row>
    <row r="417">
      <c r="A417" s="7" t="inlineStr">
        <is>
          <t>PO-00210</t>
        </is>
      </c>
      <c r="B417" s="9" t="n">
        <v>45921</v>
      </c>
      <c r="C417" s="7" t="inlineStr">
        <is>
          <t>Invoice</t>
        </is>
      </c>
      <c r="D417" s="7" t="inlineStr">
        <is>
          <t>SUP009</t>
        </is>
      </c>
      <c r="E417" s="7" t="inlineStr">
        <is>
          <t>Summit Consulting</t>
        </is>
      </c>
      <c r="F417" s="7" t="inlineStr">
        <is>
          <t>Professional Services</t>
        </is>
      </c>
      <c r="G417" s="7" t="inlineStr">
        <is>
          <t>Training services</t>
        </is>
      </c>
      <c r="H417" s="7" t="inlineStr">
        <is>
          <t>Operations</t>
        </is>
      </c>
      <c r="I417" s="7" t="inlineStr">
        <is>
          <t>South</t>
        </is>
      </c>
      <c r="J417" s="7" t="n">
        <v>16</v>
      </c>
      <c r="K417" s="7" t="n">
        <v>471.99</v>
      </c>
      <c r="L417" s="7" t="n">
        <v>7551.86</v>
      </c>
      <c r="M417" s="7" t="inlineStr">
        <is>
          <t>Paid</t>
        </is>
      </c>
    </row>
    <row r="418">
      <c r="A418" s="7" t="inlineStr">
        <is>
          <t>PO-00587</t>
        </is>
      </c>
      <c r="B418" s="9" t="n">
        <v>45923</v>
      </c>
      <c r="C418" s="7" t="inlineStr">
        <is>
          <t>Purchase Order</t>
        </is>
      </c>
      <c r="D418" s="7" t="inlineStr">
        <is>
          <t>SUP002</t>
        </is>
      </c>
      <c r="E418" s="7" t="inlineStr">
        <is>
          <t>Apex Office Supply Ltd</t>
        </is>
      </c>
      <c r="F418" s="7" t="inlineStr">
        <is>
          <t>Office Supplies</t>
        </is>
      </c>
      <c r="G418" s="7" t="inlineStr">
        <is>
          <t>Printer paper</t>
        </is>
      </c>
      <c r="H418" s="7" t="inlineStr">
        <is>
          <t>Manufacturing</t>
        </is>
      </c>
      <c r="I418" s="7" t="inlineStr">
        <is>
          <t>South</t>
        </is>
      </c>
      <c r="J418" s="7" t="n">
        <v>50</v>
      </c>
      <c r="K418" s="7" t="n">
        <v>85.01000000000001</v>
      </c>
      <c r="L418" s="7" t="n">
        <v>4250.6</v>
      </c>
      <c r="M418" s="7" t="inlineStr">
        <is>
          <t>Overdue</t>
        </is>
      </c>
    </row>
    <row r="419">
      <c r="A419" s="7" t="inlineStr">
        <is>
          <t>PO-00094</t>
        </is>
      </c>
      <c r="B419" s="9" t="n">
        <v>45923</v>
      </c>
      <c r="C419" s="7" t="inlineStr">
        <is>
          <t>Invoice</t>
        </is>
      </c>
      <c r="D419" s="7" t="inlineStr">
        <is>
          <t>SUP011</t>
        </is>
      </c>
      <c r="E419" s="7" t="inlineStr">
        <is>
          <t>Vertex Marketing</t>
        </is>
      </c>
      <c r="F419" s="7" t="inlineStr">
        <is>
          <t>Marketing</t>
        </is>
      </c>
      <c r="G419" s="7" t="inlineStr">
        <is>
          <t>Promotional materials</t>
        </is>
      </c>
      <c r="H419" s="7" t="inlineStr">
        <is>
          <t>Sales</t>
        </is>
      </c>
      <c r="I419" s="7" t="inlineStr">
        <is>
          <t>North</t>
        </is>
      </c>
      <c r="J419" s="7" t="n">
        <v>75</v>
      </c>
      <c r="K419" s="7" t="n">
        <v>67.91</v>
      </c>
      <c r="L419" s="7" t="n">
        <v>5093.44</v>
      </c>
      <c r="M419" s="7" t="inlineStr">
        <is>
          <t>Pending</t>
        </is>
      </c>
    </row>
    <row r="420">
      <c r="A420" s="7" t="inlineStr">
        <is>
          <t>PO-00098</t>
        </is>
      </c>
      <c r="B420" s="9" t="n">
        <v>45923</v>
      </c>
      <c r="C420" s="7" t="inlineStr">
        <is>
          <t>Purchase Order</t>
        </is>
      </c>
      <c r="D420" s="7" t="inlineStr">
        <is>
          <t>SUP006</t>
        </is>
      </c>
      <c r="E420" s="7" t="inlineStr">
        <is>
          <t>Metro Logistics Pvt Ltd</t>
        </is>
      </c>
      <c r="F420" s="7" t="inlineStr">
        <is>
          <t>Logistics</t>
        </is>
      </c>
      <c r="G420" s="7" t="inlineStr">
        <is>
          <t>Freight services</t>
        </is>
      </c>
      <c r="H420" s="7" t="inlineStr">
        <is>
          <t>Technology</t>
        </is>
      </c>
      <c r="I420" s="7" t="inlineStr">
        <is>
          <t>South</t>
        </is>
      </c>
      <c r="J420" s="7" t="n">
        <v>57</v>
      </c>
      <c r="K420" s="7" t="n">
        <v>269.41</v>
      </c>
      <c r="L420" s="7" t="n">
        <v>15356.2</v>
      </c>
      <c r="M420" s="7" t="inlineStr">
        <is>
          <t>Pending</t>
        </is>
      </c>
    </row>
    <row r="421">
      <c r="A421" s="7" t="inlineStr">
        <is>
          <t>PO-00256</t>
        </is>
      </c>
      <c r="B421" s="9" t="n">
        <v>45924</v>
      </c>
      <c r="C421" s="7" t="inlineStr">
        <is>
          <t>Goods Receipt</t>
        </is>
      </c>
      <c r="D421" s="7" t="inlineStr">
        <is>
          <t>SUP004</t>
        </is>
      </c>
      <c r="E421" s="7" t="inlineStr">
        <is>
          <t>North Star IT Svc</t>
        </is>
      </c>
      <c r="F421" s="7" t="inlineStr">
        <is>
          <t>IT Services</t>
        </is>
      </c>
      <c r="G421" s="7" t="inlineStr">
        <is>
          <t>IT consulting</t>
        </is>
      </c>
      <c r="H421" s="7" t="inlineStr">
        <is>
          <t>Operations</t>
        </is>
      </c>
      <c r="I421" s="7" t="inlineStr">
        <is>
          <t>West</t>
        </is>
      </c>
      <c r="J421" s="7" t="n">
        <v>72</v>
      </c>
      <c r="K421" s="7" t="n">
        <v>118.99</v>
      </c>
      <c r="L421" s="7" t="n">
        <v>8567.58</v>
      </c>
      <c r="M421" s="7" t="inlineStr">
        <is>
          <t>Overdue</t>
        </is>
      </c>
    </row>
    <row r="422">
      <c r="A422" s="7" t="inlineStr">
        <is>
          <t>PO-00245</t>
        </is>
      </c>
      <c r="B422" s="9" t="n">
        <v>45924</v>
      </c>
      <c r="C422" s="7" t="inlineStr">
        <is>
          <t>Invoice</t>
        </is>
      </c>
      <c r="D422" s="7" t="inlineStr">
        <is>
          <t>SUP008</t>
        </is>
      </c>
      <c r="E422" s="7" t="inlineStr">
        <is>
          <t>GreenLeaf Packaging</t>
        </is>
      </c>
      <c r="F422" s="7" t="inlineStr">
        <is>
          <t>Packaging</t>
        </is>
      </c>
      <c r="G422" s="7" t="inlineStr">
        <is>
          <t>Corrugated boxes</t>
        </is>
      </c>
      <c r="H422" s="7" t="inlineStr">
        <is>
          <t>Manufacturing</t>
        </is>
      </c>
      <c r="I422" s="7" t="inlineStr">
        <is>
          <t>West</t>
        </is>
      </c>
      <c r="J422" s="7" t="n">
        <v>75</v>
      </c>
      <c r="K422" s="7" t="n">
        <v>50.57</v>
      </c>
      <c r="L422" s="7" t="n">
        <v>3792.58</v>
      </c>
      <c r="M422" s="7" t="inlineStr">
        <is>
          <t>Paid</t>
        </is>
      </c>
    </row>
    <row r="423">
      <c r="A423" s="7" t="inlineStr">
        <is>
          <t>PO-00396</t>
        </is>
      </c>
      <c r="B423" s="9" t="n">
        <v>45925</v>
      </c>
      <c r="C423" s="7" t="inlineStr">
        <is>
          <t>Invoice</t>
        </is>
      </c>
      <c r="D423" s="7" t="inlineStr">
        <is>
          <t>SUP007</t>
        </is>
      </c>
      <c r="E423" s="7" t="inlineStr">
        <is>
          <t>BrightClean Facilities</t>
        </is>
      </c>
      <c r="F423" s="7" t="inlineStr">
        <is>
          <t>Facilities</t>
        </is>
      </c>
      <c r="G423" s="7" t="inlineStr">
        <is>
          <t>Security services</t>
        </is>
      </c>
      <c r="H423" s="7" t="inlineStr">
        <is>
          <t>Operations</t>
        </is>
      </c>
      <c r="I423" s="7" t="inlineStr">
        <is>
          <t>West</t>
        </is>
      </c>
      <c r="J423" s="7" t="n">
        <v>120</v>
      </c>
      <c r="K423" s="7" t="n">
        <v>103.37</v>
      </c>
      <c r="L423" s="7" t="n">
        <v>12404.77</v>
      </c>
      <c r="M423" s="7" t="inlineStr">
        <is>
          <t>Pending</t>
        </is>
      </c>
    </row>
    <row r="424">
      <c r="A424" s="7" t="inlineStr">
        <is>
          <t>PO-00438</t>
        </is>
      </c>
      <c r="B424" s="9" t="n">
        <v>45925</v>
      </c>
      <c r="C424" s="7" t="inlineStr">
        <is>
          <t>Purchase Order</t>
        </is>
      </c>
      <c r="D424" s="7" t="inlineStr">
        <is>
          <t>SUP004</t>
        </is>
      </c>
      <c r="E424" s="7" t="inlineStr">
        <is>
          <t>North Star IT Svc</t>
        </is>
      </c>
      <c r="F424" s="7" t="inlineStr">
        <is>
          <t>IT Services</t>
        </is>
      </c>
      <c r="G424" s="7" t="inlineStr">
        <is>
          <t>IT consulting</t>
        </is>
      </c>
      <c r="H424" s="7" t="inlineStr">
        <is>
          <t>Sales</t>
        </is>
      </c>
      <c r="I424" s="7" t="inlineStr">
        <is>
          <t>South</t>
        </is>
      </c>
      <c r="J424" s="7" t="n">
        <v>21</v>
      </c>
      <c r="K424" s="7" t="n">
        <v>602.8099999999999</v>
      </c>
      <c r="L424" s="7" t="n">
        <v>12658.95</v>
      </c>
      <c r="M424" s="7" t="inlineStr">
        <is>
          <t>Overdue</t>
        </is>
      </c>
    </row>
    <row r="425">
      <c r="A425" s="7" t="inlineStr">
        <is>
          <t>PO-00182</t>
        </is>
      </c>
      <c r="B425" s="9" t="n">
        <v>45927</v>
      </c>
      <c r="C425" s="7" t="inlineStr">
        <is>
          <t>Purchase Order</t>
        </is>
      </c>
      <c r="D425" s="7" t="inlineStr">
        <is>
          <t>SUP009</t>
        </is>
      </c>
      <c r="E425" s="7" t="inlineStr">
        <is>
          <t>Summit Consulting</t>
        </is>
      </c>
      <c r="F425" s="7" t="inlineStr">
        <is>
          <t>Professional Services</t>
        </is>
      </c>
      <c r="G425" s="7" t="inlineStr">
        <is>
          <t>Training services</t>
        </is>
      </c>
      <c r="H425" s="7" t="inlineStr">
        <is>
          <t>Sales</t>
        </is>
      </c>
      <c r="I425" s="7" t="inlineStr">
        <is>
          <t>North</t>
        </is>
      </c>
      <c r="J425" s="7" t="n">
        <v>71</v>
      </c>
      <c r="K425" s="7" t="n">
        <v>425.99</v>
      </c>
      <c r="L425" s="7" t="n">
        <v>30245.32</v>
      </c>
      <c r="M425" s="7" t="inlineStr">
        <is>
          <t>Overdue</t>
        </is>
      </c>
    </row>
    <row r="426">
      <c r="A426" s="7" t="inlineStr">
        <is>
          <t>PO-00056</t>
        </is>
      </c>
      <c r="B426" s="9" t="n">
        <v>45929</v>
      </c>
      <c r="C426" s="7" t="inlineStr">
        <is>
          <t>Invoice</t>
        </is>
      </c>
      <c r="D426" s="7" t="inlineStr">
        <is>
          <t>SUP009</t>
        </is>
      </c>
      <c r="E426" s="7" t="inlineStr">
        <is>
          <t>Summit Consulting</t>
        </is>
      </c>
      <c r="F426" s="7" t="inlineStr">
        <is>
          <t>Professional Services</t>
        </is>
      </c>
      <c r="G426" s="7" t="inlineStr">
        <is>
          <t>Audit support</t>
        </is>
      </c>
      <c r="H426" s="7" t="inlineStr">
        <is>
          <t>Manufacturing</t>
        </is>
      </c>
      <c r="I426" s="7" t="inlineStr">
        <is>
          <t>West</t>
        </is>
      </c>
      <c r="J426" s="7" t="n">
        <v>115</v>
      </c>
      <c r="K426" s="7" t="n">
        <v>252.88</v>
      </c>
      <c r="L426" s="7" t="n">
        <v>29081.4</v>
      </c>
      <c r="M426" s="7" t="inlineStr">
        <is>
          <t>Overdue</t>
        </is>
      </c>
    </row>
    <row r="427">
      <c r="A427" s="7" t="inlineStr">
        <is>
          <t>PO-00017</t>
        </is>
      </c>
      <c r="B427" s="9" t="n">
        <v>45929</v>
      </c>
      <c r="C427" s="7" t="inlineStr">
        <is>
          <t>Invoice</t>
        </is>
      </c>
      <c r="D427" s="7" t="inlineStr">
        <is>
          <t>SUP001</t>
        </is>
      </c>
      <c r="E427" s="7" t="inlineStr">
        <is>
          <t>Apex Office Supplies</t>
        </is>
      </c>
      <c r="F427" s="7" t="inlineStr">
        <is>
          <t>Office Supplies</t>
        </is>
      </c>
      <c r="G427" s="7" t="inlineStr">
        <is>
          <t>Pens and stationery</t>
        </is>
      </c>
      <c r="H427" s="7" t="inlineStr">
        <is>
          <t>Operations</t>
        </is>
      </c>
      <c r="I427" s="7" t="inlineStr">
        <is>
          <t>North</t>
        </is>
      </c>
      <c r="J427" s="7" t="n">
        <v>15</v>
      </c>
      <c r="K427" s="7" t="n">
        <v>590.42</v>
      </c>
      <c r="L427" s="7" t="n">
        <v>8856.27</v>
      </c>
      <c r="M427" s="7" t="inlineStr">
        <is>
          <t>Paid</t>
        </is>
      </c>
    </row>
    <row r="428">
      <c r="A428" s="7" t="inlineStr">
        <is>
          <t>PO-00071</t>
        </is>
      </c>
      <c r="B428" s="9" t="n">
        <v>45930</v>
      </c>
      <c r="C428" s="7" t="inlineStr">
        <is>
          <t>Invoice</t>
        </is>
      </c>
      <c r="D428" s="7" t="inlineStr">
        <is>
          <t>SUP007</t>
        </is>
      </c>
      <c r="E428" s="7" t="inlineStr">
        <is>
          <t>BrightClean Facilities</t>
        </is>
      </c>
      <c r="F428" s="7" t="inlineStr">
        <is>
          <t>Facilities</t>
        </is>
      </c>
      <c r="G428" s="7" t="inlineStr">
        <is>
          <t>Cleaning services</t>
        </is>
      </c>
      <c r="H428" s="7" t="inlineStr">
        <is>
          <t>Sales</t>
        </is>
      </c>
      <c r="I428" s="7" t="inlineStr">
        <is>
          <t>West</t>
        </is>
      </c>
      <c r="J428" s="7" t="n">
        <v>83</v>
      </c>
      <c r="K428" s="7" t="n">
        <v>16.3</v>
      </c>
      <c r="L428" s="7" t="n">
        <v>1352.95</v>
      </c>
      <c r="M428" s="7" t="inlineStr">
        <is>
          <t>Paid</t>
        </is>
      </c>
    </row>
    <row r="429">
      <c r="A429" s="7" t="inlineStr">
        <is>
          <t>PO-00565</t>
        </is>
      </c>
      <c r="B429" s="9" t="n">
        <v>45930</v>
      </c>
      <c r="C429" s="7" t="inlineStr">
        <is>
          <t>Purchase Order</t>
        </is>
      </c>
      <c r="D429" s="7" t="inlineStr">
        <is>
          <t>SUP005</t>
        </is>
      </c>
      <c r="E429" s="7" t="inlineStr">
        <is>
          <t>Metro Logistics</t>
        </is>
      </c>
      <c r="F429" s="7" t="inlineStr">
        <is>
          <t>Logistics</t>
        </is>
      </c>
      <c r="G429" s="7" t="inlineStr">
        <is>
          <t>Courier services</t>
        </is>
      </c>
      <c r="H429" s="7" t="inlineStr">
        <is>
          <t>Corporate</t>
        </is>
      </c>
      <c r="I429" s="7" t="inlineStr">
        <is>
          <t>West</t>
        </is>
      </c>
      <c r="J429" s="7" t="n">
        <v>24</v>
      </c>
      <c r="K429" s="7" t="n">
        <v>1089.43</v>
      </c>
      <c r="L429" s="7" t="n">
        <v>26146.44</v>
      </c>
      <c r="M429" s="7" t="inlineStr">
        <is>
          <t>Overdue</t>
        </is>
      </c>
    </row>
    <row r="430">
      <c r="A430" s="7" t="inlineStr">
        <is>
          <t>PO-00172</t>
        </is>
      </c>
      <c r="B430" s="9" t="n">
        <v>45931</v>
      </c>
      <c r="C430" s="7" t="inlineStr">
        <is>
          <t>Purchase Order</t>
        </is>
      </c>
      <c r="D430" s="7" t="inlineStr">
        <is>
          <t>SUP004</t>
        </is>
      </c>
      <c r="E430" s="7" t="inlineStr">
        <is>
          <t>North Star IT Svc</t>
        </is>
      </c>
      <c r="F430" s="7" t="inlineStr">
        <is>
          <t>IT Services</t>
        </is>
      </c>
      <c r="G430" s="7" t="inlineStr">
        <is>
          <t>Cloud services</t>
        </is>
      </c>
      <c r="H430" s="7" t="inlineStr">
        <is>
          <t>Manufacturing</t>
        </is>
      </c>
      <c r="I430" s="7" t="inlineStr">
        <is>
          <t>West</t>
        </is>
      </c>
      <c r="J430" s="7" t="n">
        <v>61</v>
      </c>
      <c r="K430" s="7" t="n">
        <v>406.28</v>
      </c>
      <c r="L430" s="7" t="n">
        <v>24782.93</v>
      </c>
      <c r="M430" s="7" t="inlineStr">
        <is>
          <t>Pending</t>
        </is>
      </c>
    </row>
    <row r="431">
      <c r="A431" s="7" t="inlineStr">
        <is>
          <t>PO-00264</t>
        </is>
      </c>
      <c r="B431" s="9" t="n">
        <v>45931</v>
      </c>
      <c r="C431" s="7" t="inlineStr">
        <is>
          <t>Invoice</t>
        </is>
      </c>
      <c r="D431" s="7" t="inlineStr">
        <is>
          <t>SUP011</t>
        </is>
      </c>
      <c r="E431" s="7" t="inlineStr">
        <is>
          <t>Vertex Marketing</t>
        </is>
      </c>
      <c r="F431" s="7" t="inlineStr">
        <is>
          <t>Marketing</t>
        </is>
      </c>
      <c r="G431" s="7" t="inlineStr">
        <is>
          <t>Print advertising</t>
        </is>
      </c>
      <c r="H431" s="7" t="inlineStr">
        <is>
          <t>Corporate</t>
        </is>
      </c>
      <c r="I431" s="7" t="inlineStr">
        <is>
          <t>West</t>
        </is>
      </c>
      <c r="J431" s="7" t="n">
        <v>66</v>
      </c>
      <c r="K431" s="7" t="n">
        <v>72.68000000000001</v>
      </c>
      <c r="L431" s="7" t="n">
        <v>4796.72</v>
      </c>
      <c r="M431" s="7" t="inlineStr">
        <is>
          <t>Pending</t>
        </is>
      </c>
    </row>
    <row r="432">
      <c r="A432" s="7" t="inlineStr">
        <is>
          <t>PO-00520</t>
        </is>
      </c>
      <c r="B432" s="9" t="n">
        <v>45932</v>
      </c>
      <c r="C432" s="7" t="inlineStr">
        <is>
          <t>Invoice</t>
        </is>
      </c>
      <c r="D432" s="7" t="inlineStr">
        <is>
          <t>SUP007</t>
        </is>
      </c>
      <c r="E432" s="7" t="inlineStr">
        <is>
          <t>BrightClean Facilities</t>
        </is>
      </c>
      <c r="F432" s="7" t="inlineStr">
        <is>
          <t>Facilities</t>
        </is>
      </c>
      <c r="G432" s="7" t="inlineStr">
        <is>
          <t>Cleaning services</t>
        </is>
      </c>
      <c r="H432" s="7" t="inlineStr">
        <is>
          <t>Sales</t>
        </is>
      </c>
      <c r="I432" s="7" t="inlineStr">
        <is>
          <t>West</t>
        </is>
      </c>
      <c r="J432" s="7" t="n">
        <v>88</v>
      </c>
      <c r="K432" s="7" t="n">
        <v>125.69</v>
      </c>
      <c r="L432" s="7" t="n">
        <v>11060.43</v>
      </c>
      <c r="M432" s="7" t="inlineStr">
        <is>
          <t>Paid</t>
        </is>
      </c>
    </row>
    <row r="433">
      <c r="A433" s="7" t="inlineStr">
        <is>
          <t>PO-00045</t>
        </is>
      </c>
      <c r="B433" s="9" t="n">
        <v>45932</v>
      </c>
      <c r="C433" s="7" t="inlineStr">
        <is>
          <t>Purchase Order</t>
        </is>
      </c>
      <c r="D433" s="7" t="inlineStr">
        <is>
          <t>SUP006</t>
        </is>
      </c>
      <c r="E433" s="7" t="inlineStr">
        <is>
          <t>Metro Logistics Pvt Ltd</t>
        </is>
      </c>
      <c r="F433" s="7" t="inlineStr">
        <is>
          <t>Logistics</t>
        </is>
      </c>
      <c r="G433" s="7" t="inlineStr">
        <is>
          <t>Warehouse handling</t>
        </is>
      </c>
      <c r="H433" s="7" t="inlineStr">
        <is>
          <t>Technology</t>
        </is>
      </c>
      <c r="I433" s="7" t="inlineStr">
        <is>
          <t>North</t>
        </is>
      </c>
      <c r="J433" s="7" t="n">
        <v>34</v>
      </c>
      <c r="K433" s="7" t="n">
        <v>109.12</v>
      </c>
      <c r="L433" s="7" t="n">
        <v>3709.93</v>
      </c>
      <c r="M433" s="7" t="inlineStr">
        <is>
          <t>Paid</t>
        </is>
      </c>
    </row>
    <row r="434">
      <c r="A434" s="7" t="inlineStr">
        <is>
          <t>PO-00297</t>
        </is>
      </c>
      <c r="B434" s="9" t="n">
        <v>45932</v>
      </c>
      <c r="C434" s="7" t="inlineStr">
        <is>
          <t>Purchase Order</t>
        </is>
      </c>
      <c r="D434" s="7" t="inlineStr">
        <is>
          <t>SUP010</t>
        </is>
      </c>
      <c r="E434" s="7" t="inlineStr">
        <is>
          <t>Urban Energy Solutions</t>
        </is>
      </c>
      <c r="F434" s="7" t="inlineStr">
        <is>
          <t>Utilities</t>
        </is>
      </c>
      <c r="G434" s="7" t="inlineStr">
        <is>
          <t>Natural gas</t>
        </is>
      </c>
      <c r="H434" s="7" t="inlineStr">
        <is>
          <t>Technology</t>
        </is>
      </c>
      <c r="I434" s="7" t="inlineStr">
        <is>
          <t>South</t>
        </is>
      </c>
      <c r="J434" s="7" t="n">
        <v>99</v>
      </c>
      <c r="K434" s="7" t="n">
        <v>16.56</v>
      </c>
      <c r="L434" s="7" t="n">
        <v>1639.48</v>
      </c>
      <c r="M434" s="7" t="inlineStr">
        <is>
          <t>Overdue</t>
        </is>
      </c>
    </row>
    <row r="435">
      <c r="A435" s="7" t="inlineStr">
        <is>
          <t>PO-00402</t>
        </is>
      </c>
      <c r="B435" s="9" t="n">
        <v>45932</v>
      </c>
      <c r="C435" s="7" t="inlineStr">
        <is>
          <t>Invoice</t>
        </is>
      </c>
      <c r="D435" s="7" t="inlineStr">
        <is>
          <t>SUP006</t>
        </is>
      </c>
      <c r="E435" s="7" t="inlineStr">
        <is>
          <t>Metro Logistics Pvt Ltd</t>
        </is>
      </c>
      <c r="F435" s="7" t="inlineStr">
        <is>
          <t>Logistics</t>
        </is>
      </c>
      <c r="G435" s="7" t="inlineStr">
        <is>
          <t>Warehouse handling</t>
        </is>
      </c>
      <c r="H435" s="7" t="inlineStr">
        <is>
          <t>Manufacturing</t>
        </is>
      </c>
      <c r="I435" s="7" t="inlineStr">
        <is>
          <t>West</t>
        </is>
      </c>
      <c r="J435" s="7" t="n">
        <v>84</v>
      </c>
      <c r="K435" s="7" t="n">
        <v>98.01000000000001</v>
      </c>
      <c r="L435" s="7" t="n">
        <v>8232.700000000001</v>
      </c>
      <c r="M435" s="7" t="inlineStr">
        <is>
          <t>Paid</t>
        </is>
      </c>
    </row>
    <row r="436">
      <c r="A436" s="7" t="inlineStr">
        <is>
          <t>PO-00073</t>
        </is>
      </c>
      <c r="B436" s="9" t="n">
        <v>45933</v>
      </c>
      <c r="C436" s="7" t="inlineStr">
        <is>
          <t>Invoice</t>
        </is>
      </c>
      <c r="D436" s="7" t="inlineStr">
        <is>
          <t>SUP008</t>
        </is>
      </c>
      <c r="E436" s="7" t="inlineStr">
        <is>
          <t>GreenLeaf Packaging</t>
        </is>
      </c>
      <c r="F436" s="7" t="inlineStr">
        <is>
          <t>Packaging</t>
        </is>
      </c>
      <c r="G436" s="7" t="inlineStr">
        <is>
          <t>Protective packaging</t>
        </is>
      </c>
      <c r="H436" s="7" t="inlineStr">
        <is>
          <t>Operations</t>
        </is>
      </c>
      <c r="I436" s="7" t="inlineStr">
        <is>
          <t>North</t>
        </is>
      </c>
      <c r="J436" s="7" t="n">
        <v>76</v>
      </c>
      <c r="K436" s="7" t="n">
        <v>195.84</v>
      </c>
      <c r="L436" s="7" t="n">
        <v>14884.13</v>
      </c>
      <c r="M436" s="7" t="inlineStr">
        <is>
          <t>Pending</t>
        </is>
      </c>
    </row>
    <row r="437">
      <c r="A437" s="7" t="inlineStr">
        <is>
          <t>PO-00250</t>
        </is>
      </c>
      <c r="B437" s="9" t="n">
        <v>45933</v>
      </c>
      <c r="C437" s="7" t="inlineStr">
        <is>
          <t>Purchase Order</t>
        </is>
      </c>
      <c r="D437" s="7" t="inlineStr">
        <is>
          <t>SUP007</t>
        </is>
      </c>
      <c r="E437" s="7" t="inlineStr">
        <is>
          <t>BrightClean Facilities</t>
        </is>
      </c>
      <c r="F437" s="7" t="inlineStr">
        <is>
          <t>Facilities</t>
        </is>
      </c>
      <c r="G437" s="7" t="inlineStr">
        <is>
          <t>Cleaning services</t>
        </is>
      </c>
      <c r="H437" s="7" t="inlineStr">
        <is>
          <t>Technology</t>
        </is>
      </c>
      <c r="I437" s="7" t="inlineStr">
        <is>
          <t>West</t>
        </is>
      </c>
      <c r="J437" s="7" t="n">
        <v>29</v>
      </c>
      <c r="K437" s="7" t="n">
        <v>452.9</v>
      </c>
      <c r="L437" s="7" t="n">
        <v>13134.1</v>
      </c>
      <c r="M437" s="7" t="inlineStr">
        <is>
          <t>Overdue</t>
        </is>
      </c>
    </row>
    <row r="438">
      <c r="A438" s="7" t="inlineStr">
        <is>
          <t>PO-00311</t>
        </is>
      </c>
      <c r="B438" s="9" t="n">
        <v>45933</v>
      </c>
      <c r="C438" s="7" t="inlineStr">
        <is>
          <t>Goods Receipt</t>
        </is>
      </c>
      <c r="D438" s="7" t="inlineStr">
        <is>
          <t>SUP012</t>
        </is>
      </c>
      <c r="E438" s="7" t="inlineStr">
        <is>
          <t>Pioneer Hardware</t>
        </is>
      </c>
      <c r="F438" s="7" t="inlineStr">
        <is>
          <t>Maintenance</t>
        </is>
      </c>
      <c r="G438" s="7" t="inlineStr">
        <is>
          <t>Repair parts</t>
        </is>
      </c>
      <c r="H438" s="7" t="inlineStr">
        <is>
          <t>Sales</t>
        </is>
      </c>
      <c r="I438" s="7" t="inlineStr">
        <is>
          <t>East</t>
        </is>
      </c>
      <c r="J438" s="7" t="n">
        <v>23</v>
      </c>
      <c r="K438" s="7" t="n">
        <v>728.73</v>
      </c>
      <c r="L438" s="7" t="n">
        <v>16760.83</v>
      </c>
      <c r="M438" s="7" t="inlineStr">
        <is>
          <t>Paid</t>
        </is>
      </c>
    </row>
    <row r="439">
      <c r="A439" s="7" t="inlineStr">
        <is>
          <t>PO-00034</t>
        </is>
      </c>
      <c r="B439" s="9" t="n">
        <v>45933</v>
      </c>
      <c r="C439" s="7" t="inlineStr">
        <is>
          <t>Purchase Order</t>
        </is>
      </c>
      <c r="D439" s="7" t="inlineStr">
        <is>
          <t>SUP004</t>
        </is>
      </c>
      <c r="E439" s="7" t="inlineStr">
        <is>
          <t>North Star IT Svc</t>
        </is>
      </c>
      <c r="F439" s="7" t="inlineStr">
        <is>
          <t>IT Services</t>
        </is>
      </c>
      <c r="G439" s="7" t="inlineStr">
        <is>
          <t>Software support</t>
        </is>
      </c>
      <c r="H439" s="7" t="inlineStr">
        <is>
          <t>Technology</t>
        </is>
      </c>
      <c r="I439" s="7" t="inlineStr">
        <is>
          <t>East</t>
        </is>
      </c>
      <c r="J439" s="7" t="n">
        <v>45</v>
      </c>
      <c r="K439" s="7" t="n">
        <v>94</v>
      </c>
      <c r="L439" s="7" t="n">
        <v>4230.15</v>
      </c>
      <c r="M439" s="7" t="inlineStr">
        <is>
          <t>Paid</t>
        </is>
      </c>
    </row>
    <row r="440">
      <c r="A440" s="7" t="inlineStr">
        <is>
          <t>PO-00104</t>
        </is>
      </c>
      <c r="B440" s="9" t="n">
        <v>45933</v>
      </c>
      <c r="C440" s="7" t="inlineStr">
        <is>
          <t>Invoice</t>
        </is>
      </c>
      <c r="D440" s="7" t="inlineStr">
        <is>
          <t>SUP008</t>
        </is>
      </c>
      <c r="E440" s="7" t="inlineStr">
        <is>
          <t>GreenLeaf Packaging</t>
        </is>
      </c>
      <c r="F440" s="7" t="inlineStr">
        <is>
          <t>Packaging</t>
        </is>
      </c>
      <c r="G440" s="7" t="inlineStr">
        <is>
          <t>Protective packaging</t>
        </is>
      </c>
      <c r="H440" s="7" t="inlineStr">
        <is>
          <t>Technology</t>
        </is>
      </c>
      <c r="I440" s="7" t="inlineStr">
        <is>
          <t>South</t>
        </is>
      </c>
      <c r="J440" s="7" t="n">
        <v>70</v>
      </c>
      <c r="K440" s="7" t="n">
        <v>142.69</v>
      </c>
      <c r="L440" s="7" t="n">
        <v>9988.280000000001</v>
      </c>
      <c r="M440" s="7" t="inlineStr">
        <is>
          <t>Overdue</t>
        </is>
      </c>
    </row>
    <row r="441">
      <c r="A441" s="7" t="inlineStr">
        <is>
          <t>PO-00066</t>
        </is>
      </c>
      <c r="B441" s="9" t="n">
        <v>45934</v>
      </c>
      <c r="C441" s="7" t="inlineStr">
        <is>
          <t>Purchase Order</t>
        </is>
      </c>
      <c r="D441" s="7" t="inlineStr">
        <is>
          <t>SUP001</t>
        </is>
      </c>
      <c r="E441" s="7" t="inlineStr">
        <is>
          <t>Apex Office Supplies</t>
        </is>
      </c>
      <c r="F441" s="7" t="inlineStr">
        <is>
          <t>Office Supplies</t>
        </is>
      </c>
      <c r="G441" s="7" t="inlineStr">
        <is>
          <t>Toner cartridges</t>
        </is>
      </c>
      <c r="H441" s="7" t="inlineStr">
        <is>
          <t>Corporate</t>
        </is>
      </c>
      <c r="I441" s="7" t="inlineStr">
        <is>
          <t>North</t>
        </is>
      </c>
      <c r="J441" s="7" t="n">
        <v>84</v>
      </c>
      <c r="K441" s="7" t="n">
        <v>75.92</v>
      </c>
      <c r="L441" s="7" t="n">
        <v>6377.29</v>
      </c>
      <c r="M441" s="7" t="inlineStr">
        <is>
          <t>Paid</t>
        </is>
      </c>
    </row>
    <row r="442">
      <c r="A442" s="7" t="inlineStr">
        <is>
          <t>PO-00198</t>
        </is>
      </c>
      <c r="B442" s="9" t="n">
        <v>45935</v>
      </c>
      <c r="C442" s="7" t="inlineStr">
        <is>
          <t>Goods Receipt</t>
        </is>
      </c>
      <c r="D442" s="7" t="inlineStr">
        <is>
          <t>SUP005</t>
        </is>
      </c>
      <c r="E442" s="7" t="inlineStr">
        <is>
          <t>Metro Logistics</t>
        </is>
      </c>
      <c r="F442" s="7" t="inlineStr">
        <is>
          <t>Logistics</t>
        </is>
      </c>
      <c r="G442" s="7" t="inlineStr">
        <is>
          <t>Warehouse handling</t>
        </is>
      </c>
      <c r="H442" s="7" t="inlineStr">
        <is>
          <t>Operations</t>
        </is>
      </c>
      <c r="I442" s="7" t="inlineStr">
        <is>
          <t>East</t>
        </is>
      </c>
      <c r="J442" s="7" t="n">
        <v>92</v>
      </c>
      <c r="K442" s="7" t="n">
        <v>283.5</v>
      </c>
      <c r="L442" s="7" t="n">
        <v>26082</v>
      </c>
      <c r="M442" s="7" t="inlineStr">
        <is>
          <t>Overdue</t>
        </is>
      </c>
    </row>
    <row r="443">
      <c r="A443" s="7" t="inlineStr">
        <is>
          <t>PO-00371</t>
        </is>
      </c>
      <c r="B443" s="9" t="n">
        <v>45936</v>
      </c>
      <c r="C443" s="7" t="inlineStr">
        <is>
          <t>Invoice</t>
        </is>
      </c>
      <c r="D443" s="7" t="inlineStr">
        <is>
          <t>SUP008</t>
        </is>
      </c>
      <c r="E443" s="7" t="inlineStr">
        <is>
          <t>GreenLeaf Packaging</t>
        </is>
      </c>
      <c r="F443" s="7" t="inlineStr">
        <is>
          <t>Packaging</t>
        </is>
      </c>
      <c r="G443" s="7" t="inlineStr">
        <is>
          <t>Protective packaging</t>
        </is>
      </c>
      <c r="H443" s="7" t="inlineStr">
        <is>
          <t>Operations</t>
        </is>
      </c>
      <c r="I443" s="7" t="inlineStr">
        <is>
          <t>North</t>
        </is>
      </c>
      <c r="J443" s="7" t="n">
        <v>42</v>
      </c>
      <c r="K443" s="7" t="n">
        <v>243.66</v>
      </c>
      <c r="L443" s="7" t="n">
        <v>10233.84</v>
      </c>
      <c r="M443" s="7" t="inlineStr">
        <is>
          <t>Pending</t>
        </is>
      </c>
    </row>
    <row r="444">
      <c r="A444" s="7" t="inlineStr">
        <is>
          <t>PO-00251</t>
        </is>
      </c>
      <c r="B444" s="9" t="n">
        <v>45936</v>
      </c>
      <c r="C444" s="7" t="inlineStr">
        <is>
          <t>Invoice</t>
        </is>
      </c>
      <c r="D444" s="7" t="inlineStr">
        <is>
          <t>SUP007</t>
        </is>
      </c>
      <c r="E444" s="7" t="inlineStr">
        <is>
          <t>BrightClean Facilities</t>
        </is>
      </c>
      <c r="F444" s="7" t="inlineStr">
        <is>
          <t>Facilities</t>
        </is>
      </c>
      <c r="G444" s="7" t="inlineStr">
        <is>
          <t>Facility maintenance</t>
        </is>
      </c>
      <c r="H444" s="7" t="inlineStr">
        <is>
          <t>Operations</t>
        </is>
      </c>
      <c r="I444" s="7" t="inlineStr">
        <is>
          <t>East</t>
        </is>
      </c>
      <c r="J444" s="7" t="n">
        <v>32</v>
      </c>
      <c r="K444" s="7" t="n">
        <v>463.8</v>
      </c>
      <c r="L444" s="7" t="n">
        <v>14841.68</v>
      </c>
      <c r="M444" s="7" t="inlineStr">
        <is>
          <t>Paid</t>
        </is>
      </c>
    </row>
    <row r="445">
      <c r="A445" s="7" t="inlineStr">
        <is>
          <t>PO-00542</t>
        </is>
      </c>
      <c r="B445" s="9" t="n">
        <v>45938</v>
      </c>
      <c r="C445" s="7" t="inlineStr">
        <is>
          <t>Invoice</t>
        </is>
      </c>
      <c r="D445" s="7" t="inlineStr">
        <is>
          <t>SUP005</t>
        </is>
      </c>
      <c r="E445" s="7" t="inlineStr">
        <is>
          <t>Metro Logistics</t>
        </is>
      </c>
      <c r="F445" s="7" t="inlineStr">
        <is>
          <t>Logistics</t>
        </is>
      </c>
      <c r="G445" s="7" t="inlineStr">
        <is>
          <t>Courier services</t>
        </is>
      </c>
      <c r="H445" s="7" t="inlineStr">
        <is>
          <t>Operations</t>
        </is>
      </c>
      <c r="I445" s="7" t="inlineStr">
        <is>
          <t>West</t>
        </is>
      </c>
      <c r="J445" s="7" t="n">
        <v>79</v>
      </c>
      <c r="K445" s="7" t="n">
        <v>183.94</v>
      </c>
      <c r="L445" s="7" t="n">
        <v>14531.01</v>
      </c>
      <c r="M445" s="7" t="inlineStr">
        <is>
          <t>Pending</t>
        </is>
      </c>
    </row>
    <row r="446">
      <c r="A446" s="7" t="inlineStr">
        <is>
          <t>PO-00463</t>
        </is>
      </c>
      <c r="B446" s="9" t="n">
        <v>45938</v>
      </c>
      <c r="C446" s="7" t="inlineStr">
        <is>
          <t>Purchase Order</t>
        </is>
      </c>
      <c r="D446" s="7" t="inlineStr">
        <is>
          <t>SUP006</t>
        </is>
      </c>
      <c r="E446" s="7" t="inlineStr">
        <is>
          <t>Metro Logistics Pvt Ltd</t>
        </is>
      </c>
      <c r="F446" s="7" t="inlineStr">
        <is>
          <t>Logistics</t>
        </is>
      </c>
      <c r="G446" s="7" t="inlineStr">
        <is>
          <t>Freight services</t>
        </is>
      </c>
      <c r="H446" s="7" t="inlineStr">
        <is>
          <t>Operations</t>
        </is>
      </c>
      <c r="I446" s="7" t="inlineStr">
        <is>
          <t>East</t>
        </is>
      </c>
      <c r="J446" s="7" t="n">
        <v>81</v>
      </c>
      <c r="K446" s="7" t="n">
        <v>353.58</v>
      </c>
      <c r="L446" s="7" t="n">
        <v>28639.83</v>
      </c>
      <c r="M446" s="7" t="inlineStr">
        <is>
          <t>Overdue</t>
        </is>
      </c>
    </row>
    <row r="447">
      <c r="A447" s="7" t="inlineStr">
        <is>
          <t>PO-00523</t>
        </is>
      </c>
      <c r="B447" s="9" t="n">
        <v>45939</v>
      </c>
      <c r="C447" s="7" t="inlineStr">
        <is>
          <t>Invoice</t>
        </is>
      </c>
      <c r="D447" s="7" t="inlineStr">
        <is>
          <t>SUP010</t>
        </is>
      </c>
      <c r="E447" s="7" t="inlineStr">
        <is>
          <t>Urban Energy Solutions</t>
        </is>
      </c>
      <c r="F447" s="7" t="inlineStr">
        <is>
          <t>Utilities</t>
        </is>
      </c>
      <c r="G447" s="7" t="inlineStr">
        <is>
          <t>Natural gas</t>
        </is>
      </c>
      <c r="H447" s="7" t="inlineStr">
        <is>
          <t>Corporate</t>
        </is>
      </c>
      <c r="I447" s="7" t="inlineStr">
        <is>
          <t>North</t>
        </is>
      </c>
      <c r="J447" s="7" t="n">
        <v>21</v>
      </c>
      <c r="K447" s="7" t="n">
        <v>607.5</v>
      </c>
      <c r="L447" s="7" t="n">
        <v>12757.4</v>
      </c>
      <c r="M447" s="7" t="inlineStr">
        <is>
          <t>Paid</t>
        </is>
      </c>
    </row>
    <row r="448">
      <c r="A448" s="7" t="inlineStr">
        <is>
          <t>PO-00474</t>
        </is>
      </c>
      <c r="B448" s="9" t="n">
        <v>45939</v>
      </c>
      <c r="C448" s="7" t="inlineStr">
        <is>
          <t>Purchase Order</t>
        </is>
      </c>
      <c r="D448" s="7" t="inlineStr">
        <is>
          <t>SUP006</t>
        </is>
      </c>
      <c r="E448" s="7" t="inlineStr">
        <is>
          <t>Metro Logistics Pvt Ltd</t>
        </is>
      </c>
      <c r="F448" s="7" t="inlineStr">
        <is>
          <t>Logistics</t>
        </is>
      </c>
      <c r="G448" s="7" t="inlineStr">
        <is>
          <t>Freight services</t>
        </is>
      </c>
      <c r="H448" s="7" t="inlineStr">
        <is>
          <t>Manufacturing</t>
        </is>
      </c>
      <c r="I448" s="7" t="inlineStr">
        <is>
          <t>North</t>
        </is>
      </c>
      <c r="J448" s="7" t="n">
        <v>68</v>
      </c>
      <c r="K448" s="7" t="n">
        <v>319.33</v>
      </c>
      <c r="L448" s="7" t="n">
        <v>21714.69</v>
      </c>
      <c r="M448" s="7" t="inlineStr">
        <is>
          <t>Overdue</t>
        </is>
      </c>
    </row>
    <row r="449">
      <c r="A449" s="7" t="inlineStr">
        <is>
          <t>PO-00200</t>
        </is>
      </c>
      <c r="B449" s="9" t="n">
        <v>45940</v>
      </c>
      <c r="C449" s="7" t="inlineStr">
        <is>
          <t>Invoice</t>
        </is>
      </c>
      <c r="D449" s="7" t="inlineStr">
        <is>
          <t>SUP003</t>
        </is>
      </c>
      <c r="E449" s="7" t="inlineStr">
        <is>
          <t>Northstar IT Services</t>
        </is>
      </c>
      <c r="F449" s="7" t="inlineStr">
        <is>
          <t>IT Services</t>
        </is>
      </c>
      <c r="G449" s="7" t="inlineStr">
        <is>
          <t>IT consulting</t>
        </is>
      </c>
      <c r="H449" s="7" t="inlineStr">
        <is>
          <t>Sales</t>
        </is>
      </c>
      <c r="I449" s="7" t="inlineStr">
        <is>
          <t>West</t>
        </is>
      </c>
      <c r="J449" s="7" t="n">
        <v>40</v>
      </c>
      <c r="K449" s="7" t="n">
        <v>70.62</v>
      </c>
      <c r="L449" s="7" t="n">
        <v>2824.61</v>
      </c>
      <c r="M449" s="7" t="inlineStr">
        <is>
          <t>Pending</t>
        </is>
      </c>
    </row>
    <row r="450">
      <c r="A450" s="7" t="inlineStr">
        <is>
          <t>PO-00202</t>
        </is>
      </c>
      <c r="B450" s="9" t="n">
        <v>45940</v>
      </c>
      <c r="C450" s="7" t="inlineStr">
        <is>
          <t>Invoice</t>
        </is>
      </c>
      <c r="D450" s="7" t="inlineStr">
        <is>
          <t>SUP011</t>
        </is>
      </c>
      <c r="E450" s="7" t="inlineStr">
        <is>
          <t>Vertex Marketing</t>
        </is>
      </c>
      <c r="F450" s="7" t="inlineStr">
        <is>
          <t>Marketing</t>
        </is>
      </c>
      <c r="G450" s="7" t="inlineStr">
        <is>
          <t>Promotional materials</t>
        </is>
      </c>
      <c r="H450" s="7" t="inlineStr">
        <is>
          <t>Corporate</t>
        </is>
      </c>
      <c r="I450" s="7" t="inlineStr">
        <is>
          <t>North</t>
        </is>
      </c>
      <c r="J450" s="7" t="n">
        <v>17</v>
      </c>
      <c r="K450" s="7" t="n">
        <v>814.58</v>
      </c>
      <c r="L450" s="7" t="n">
        <v>13847.94</v>
      </c>
      <c r="M450" s="7" t="inlineStr">
        <is>
          <t>Overdue</t>
        </is>
      </c>
    </row>
    <row r="451">
      <c r="A451" s="7" t="inlineStr">
        <is>
          <t>PO-00078</t>
        </is>
      </c>
      <c r="B451" s="9" t="n">
        <v>45941</v>
      </c>
      <c r="C451" s="7" t="inlineStr">
        <is>
          <t>Invoice</t>
        </is>
      </c>
      <c r="D451" s="7" t="inlineStr">
        <is>
          <t>SUP009</t>
        </is>
      </c>
      <c r="E451" s="7" t="inlineStr">
        <is>
          <t>Summit Consulting</t>
        </is>
      </c>
      <c r="F451" s="7" t="inlineStr">
        <is>
          <t>Professional Services</t>
        </is>
      </c>
      <c r="G451" s="7" t="inlineStr">
        <is>
          <t>Training services</t>
        </is>
      </c>
      <c r="H451" s="7" t="inlineStr">
        <is>
          <t>Sales</t>
        </is>
      </c>
      <c r="I451" s="7" t="inlineStr">
        <is>
          <t>East</t>
        </is>
      </c>
      <c r="J451" s="7" t="n">
        <v>71</v>
      </c>
      <c r="K451" s="7" t="n">
        <v>429.54</v>
      </c>
      <c r="L451" s="7" t="n">
        <v>30497.61</v>
      </c>
      <c r="M451" s="7" t="inlineStr">
        <is>
          <t>Pending</t>
        </is>
      </c>
    </row>
    <row r="452">
      <c r="A452" s="7" t="inlineStr">
        <is>
          <t>PO-00266</t>
        </is>
      </c>
      <c r="B452" s="9" t="n">
        <v>45941</v>
      </c>
      <c r="C452" s="7" t="inlineStr">
        <is>
          <t>Purchase Order</t>
        </is>
      </c>
      <c r="D452" s="7" t="inlineStr">
        <is>
          <t>SUP010</t>
        </is>
      </c>
      <c r="E452" s="7" t="inlineStr">
        <is>
          <t>Urban Energy Solutions</t>
        </is>
      </c>
      <c r="F452" s="7" t="inlineStr">
        <is>
          <t>Utilities</t>
        </is>
      </c>
      <c r="G452" s="7" t="inlineStr">
        <is>
          <t>Water services</t>
        </is>
      </c>
      <c r="H452" s="7" t="inlineStr">
        <is>
          <t>Operations</t>
        </is>
      </c>
      <c r="I452" s="7" t="inlineStr">
        <is>
          <t>West</t>
        </is>
      </c>
      <c r="J452" s="7" t="n">
        <v>20</v>
      </c>
      <c r="K452" s="7" t="n">
        <v>379.31</v>
      </c>
      <c r="L452" s="7" t="n">
        <v>7586.3</v>
      </c>
      <c r="M452" s="7" t="inlineStr">
        <is>
          <t>Overdue</t>
        </is>
      </c>
    </row>
    <row r="453">
      <c r="A453" s="7" t="inlineStr">
        <is>
          <t>PO-00144</t>
        </is>
      </c>
      <c r="B453" s="9" t="n">
        <v>45942</v>
      </c>
      <c r="C453" s="7" t="inlineStr">
        <is>
          <t>Invoice</t>
        </is>
      </c>
      <c r="D453" s="7" t="inlineStr">
        <is>
          <t>SUP006</t>
        </is>
      </c>
      <c r="E453" s="7" t="inlineStr">
        <is>
          <t>Metro Logistics Pvt Ltd</t>
        </is>
      </c>
      <c r="F453" s="7" t="inlineStr">
        <is>
          <t>Logistics</t>
        </is>
      </c>
      <c r="G453" s="7" t="inlineStr">
        <is>
          <t>Warehouse handling</t>
        </is>
      </c>
      <c r="H453" s="7" t="inlineStr">
        <is>
          <t>Manufacturing</t>
        </is>
      </c>
      <c r="I453" s="7" t="inlineStr">
        <is>
          <t>North</t>
        </is>
      </c>
      <c r="J453" s="7" t="n">
        <v>29</v>
      </c>
      <c r="K453" s="7" t="n">
        <v>299.01</v>
      </c>
      <c r="L453" s="7" t="n">
        <v>8671.360000000001</v>
      </c>
      <c r="M453" s="7" t="inlineStr">
        <is>
          <t>Overdue</t>
        </is>
      </c>
    </row>
    <row r="454">
      <c r="A454" s="7" t="inlineStr">
        <is>
          <t>PO-00085</t>
        </is>
      </c>
      <c r="B454" s="9" t="n">
        <v>45943</v>
      </c>
      <c r="C454" s="7" t="inlineStr">
        <is>
          <t>Goods Receipt</t>
        </is>
      </c>
      <c r="D454" s="7" t="inlineStr">
        <is>
          <t>SUP007</t>
        </is>
      </c>
      <c r="E454" s="7" t="inlineStr">
        <is>
          <t>BrightClean Facilities</t>
        </is>
      </c>
      <c r="F454" s="7" t="inlineStr">
        <is>
          <t>Facilities</t>
        </is>
      </c>
      <c r="G454" s="7" t="inlineStr">
        <is>
          <t>Facility maintenance</t>
        </is>
      </c>
      <c r="H454" s="7" t="inlineStr">
        <is>
          <t>Sales</t>
        </is>
      </c>
      <c r="I454" s="7" t="inlineStr">
        <is>
          <t>West</t>
        </is>
      </c>
      <c r="J454" s="7" t="n">
        <v>29</v>
      </c>
      <c r="K454" s="7" t="n">
        <v>491.67</v>
      </c>
      <c r="L454" s="7" t="n">
        <v>14258.45</v>
      </c>
      <c r="M454" s="7" t="inlineStr">
        <is>
          <t>Pending</t>
        </is>
      </c>
    </row>
    <row r="455">
      <c r="A455" s="7" t="inlineStr">
        <is>
          <t>PO-00529</t>
        </is>
      </c>
      <c r="B455" s="9" t="n">
        <v>45944</v>
      </c>
      <c r="C455" s="7" t="inlineStr">
        <is>
          <t>Purchase Order</t>
        </is>
      </c>
      <c r="D455" s="7" t="inlineStr">
        <is>
          <t>SUP010</t>
        </is>
      </c>
      <c r="E455" s="7" t="inlineStr">
        <is>
          <t>Urban Energy Solutions</t>
        </is>
      </c>
      <c r="F455" s="7" t="inlineStr">
        <is>
          <t>Utilities</t>
        </is>
      </c>
      <c r="G455" s="7" t="inlineStr">
        <is>
          <t>Natural gas</t>
        </is>
      </c>
      <c r="H455" s="7" t="inlineStr">
        <is>
          <t>Operations</t>
        </is>
      </c>
      <c r="I455" s="7" t="inlineStr">
        <is>
          <t>West</t>
        </is>
      </c>
      <c r="J455" s="7" t="n">
        <v>36</v>
      </c>
      <c r="K455" s="7" t="n">
        <v>481.77</v>
      </c>
      <c r="L455" s="7" t="n">
        <v>17343.58</v>
      </c>
      <c r="M455" s="7" t="inlineStr">
        <is>
          <t>Pending</t>
        </is>
      </c>
    </row>
    <row r="456">
      <c r="A456" s="7" t="inlineStr">
        <is>
          <t>PO-00287</t>
        </is>
      </c>
      <c r="B456" s="9" t="n">
        <v>45944</v>
      </c>
      <c r="C456" s="7" t="inlineStr">
        <is>
          <t>Purchase Order</t>
        </is>
      </c>
      <c r="D456" s="7" t="inlineStr">
        <is>
          <t>SUP004</t>
        </is>
      </c>
      <c r="E456" s="7" t="inlineStr">
        <is>
          <t>North Star IT Svc</t>
        </is>
      </c>
      <c r="F456" s="7" t="inlineStr">
        <is>
          <t>IT Services</t>
        </is>
      </c>
      <c r="G456" s="7" t="inlineStr">
        <is>
          <t>Software support</t>
        </is>
      </c>
      <c r="H456" s="7" t="inlineStr">
        <is>
          <t>Technology</t>
        </is>
      </c>
      <c r="I456" s="7" t="inlineStr">
        <is>
          <t>East</t>
        </is>
      </c>
      <c r="J456" s="7" t="n">
        <v>49</v>
      </c>
      <c r="K456" s="7" t="n">
        <v>109.36</v>
      </c>
      <c r="L456" s="7" t="n">
        <v>5358.64</v>
      </c>
      <c r="M456" s="7" t="inlineStr">
        <is>
          <t>Pending</t>
        </is>
      </c>
    </row>
    <row r="457">
      <c r="A457" s="7" t="inlineStr">
        <is>
          <t>PO-00465</t>
        </is>
      </c>
      <c r="B457" s="9" t="n">
        <v>45945</v>
      </c>
      <c r="C457" s="7" t="inlineStr">
        <is>
          <t>Invoice</t>
        </is>
      </c>
      <c r="D457" s="7" t="inlineStr">
        <is>
          <t>SUP008</t>
        </is>
      </c>
      <c r="E457" s="7" t="inlineStr">
        <is>
          <t>GreenLeaf Packaging</t>
        </is>
      </c>
      <c r="F457" s="7" t="inlineStr">
        <is>
          <t>Packaging</t>
        </is>
      </c>
      <c r="G457" s="7" t="inlineStr">
        <is>
          <t>Labels</t>
        </is>
      </c>
      <c r="H457" s="7" t="inlineStr">
        <is>
          <t>Manufacturing</t>
        </is>
      </c>
      <c r="I457" s="7" t="inlineStr">
        <is>
          <t>East</t>
        </is>
      </c>
      <c r="J457" s="7" t="n">
        <v>91</v>
      </c>
      <c r="K457" s="7" t="n">
        <v>186.54</v>
      </c>
      <c r="L457" s="7" t="n">
        <v>16975</v>
      </c>
      <c r="M457" s="7" t="inlineStr">
        <is>
          <t>Pending</t>
        </is>
      </c>
    </row>
    <row r="458">
      <c r="A458" s="7" t="inlineStr">
        <is>
          <t>PO-00279</t>
        </is>
      </c>
      <c r="B458" s="9" t="n">
        <v>45946</v>
      </c>
      <c r="C458" s="7" t="inlineStr">
        <is>
          <t>Goods Receipt</t>
        </is>
      </c>
      <c r="D458" s="7" t="inlineStr">
        <is>
          <t>SUP004</t>
        </is>
      </c>
      <c r="E458" s="7" t="inlineStr">
        <is>
          <t>North Star IT Svc</t>
        </is>
      </c>
      <c r="F458" s="7" t="inlineStr">
        <is>
          <t>IT Services</t>
        </is>
      </c>
      <c r="G458" s="7" t="inlineStr">
        <is>
          <t>Cloud services</t>
        </is>
      </c>
      <c r="H458" s="7" t="inlineStr">
        <is>
          <t>Sales</t>
        </is>
      </c>
      <c r="I458" s="7" t="inlineStr">
        <is>
          <t>South</t>
        </is>
      </c>
      <c r="J458" s="7" t="n">
        <v>87</v>
      </c>
      <c r="K458" s="7" t="n">
        <v>299.12</v>
      </c>
      <c r="L458" s="7" t="n">
        <v>26023.65</v>
      </c>
      <c r="M458" s="7" t="inlineStr">
        <is>
          <t>Overdue</t>
        </is>
      </c>
    </row>
    <row r="459">
      <c r="A459" s="7" t="inlineStr">
        <is>
          <t>PO-00244</t>
        </is>
      </c>
      <c r="B459" s="9" t="n">
        <v>45946</v>
      </c>
      <c r="C459" s="7" t="inlineStr">
        <is>
          <t>Goods Receipt</t>
        </is>
      </c>
      <c r="D459" s="7" t="inlineStr">
        <is>
          <t>SUP002</t>
        </is>
      </c>
      <c r="E459" s="7" t="inlineStr">
        <is>
          <t>Apex Office Supply Ltd</t>
        </is>
      </c>
      <c r="F459" s="7" t="inlineStr">
        <is>
          <t>Maintenance</t>
        </is>
      </c>
      <c r="G459" s="7" t="inlineStr">
        <is>
          <t>Tools and supplies</t>
        </is>
      </c>
      <c r="H459" s="7" t="inlineStr">
        <is>
          <t>Operations</t>
        </is>
      </c>
      <c r="I459" s="7" t="inlineStr">
        <is>
          <t>South</t>
        </is>
      </c>
      <c r="J459" s="7" t="n">
        <v>26</v>
      </c>
      <c r="K459" s="7" t="n">
        <v>625.52</v>
      </c>
      <c r="L459" s="7" t="n">
        <v>16263.64</v>
      </c>
      <c r="M459" s="7" t="inlineStr">
        <is>
          <t>Pending</t>
        </is>
      </c>
    </row>
    <row r="460">
      <c r="A460" s="7" t="inlineStr">
        <is>
          <t>PO-00220</t>
        </is>
      </c>
      <c r="B460" s="9" t="n">
        <v>45946</v>
      </c>
      <c r="C460" s="7" t="inlineStr">
        <is>
          <t>Goods Receipt</t>
        </is>
      </c>
      <c r="D460" s="7" t="inlineStr">
        <is>
          <t>SUP005</t>
        </is>
      </c>
      <c r="E460" s="7" t="inlineStr">
        <is>
          <t>Metro Logistics</t>
        </is>
      </c>
      <c r="F460" s="7" t="inlineStr">
        <is>
          <t>Logistics</t>
        </is>
      </c>
      <c r="G460" s="7" t="inlineStr">
        <is>
          <t>Freight services</t>
        </is>
      </c>
      <c r="H460" s="7" t="inlineStr">
        <is>
          <t>Sales</t>
        </is>
      </c>
      <c r="I460" s="7" t="inlineStr">
        <is>
          <t>East</t>
        </is>
      </c>
      <c r="J460" s="7" t="n">
        <v>43</v>
      </c>
      <c r="K460" s="7" t="n">
        <v>16.5</v>
      </c>
      <c r="L460" s="7" t="n">
        <v>709.7</v>
      </c>
      <c r="M460" s="7" t="inlineStr">
        <is>
          <t>Overdue</t>
        </is>
      </c>
    </row>
    <row r="461">
      <c r="A461" s="7" t="inlineStr">
        <is>
          <t>PO-00315</t>
        </is>
      </c>
      <c r="B461" s="9" t="n">
        <v>45947</v>
      </c>
      <c r="C461" s="7" t="inlineStr">
        <is>
          <t>Purchase Order</t>
        </is>
      </c>
      <c r="D461" s="7" t="inlineStr">
        <is>
          <t>SUP012</t>
        </is>
      </c>
      <c r="E461" s="7" t="inlineStr">
        <is>
          <t>Pioneer Hardware</t>
        </is>
      </c>
      <c r="F461" s="7" t="inlineStr">
        <is>
          <t>Maintenance</t>
        </is>
      </c>
      <c r="G461" s="7" t="inlineStr">
        <is>
          <t>Tools and supplies</t>
        </is>
      </c>
      <c r="H461" s="7" t="inlineStr">
        <is>
          <t>Corporate</t>
        </is>
      </c>
      <c r="I461" s="7" t="inlineStr">
        <is>
          <t>East</t>
        </is>
      </c>
      <c r="J461" s="7" t="n">
        <v>66</v>
      </c>
      <c r="K461" s="7" t="n">
        <v>136</v>
      </c>
      <c r="L461" s="7" t="n">
        <v>8976.200000000001</v>
      </c>
      <c r="M461" s="7" t="inlineStr">
        <is>
          <t>Overdue</t>
        </is>
      </c>
    </row>
    <row r="462">
      <c r="A462" s="7" t="inlineStr">
        <is>
          <t>PO-00274</t>
        </is>
      </c>
      <c r="B462" s="9" t="n">
        <v>45947</v>
      </c>
      <c r="C462" s="7" t="inlineStr">
        <is>
          <t>Purchase Order</t>
        </is>
      </c>
      <c r="D462" s="7" t="inlineStr">
        <is>
          <t>SUP004</t>
        </is>
      </c>
      <c r="E462" s="7" t="inlineStr">
        <is>
          <t>North Star IT Svc</t>
        </is>
      </c>
      <c r="F462" s="7" t="inlineStr">
        <is>
          <t>IT Services</t>
        </is>
      </c>
      <c r="G462" s="7" t="inlineStr">
        <is>
          <t>IT consulting</t>
        </is>
      </c>
      <c r="H462" s="7" t="inlineStr">
        <is>
          <t>Corporate</t>
        </is>
      </c>
      <c r="I462" s="7" t="inlineStr">
        <is>
          <t>North</t>
        </is>
      </c>
      <c r="J462" s="7" t="n">
        <v>88</v>
      </c>
      <c r="K462" s="7" t="n">
        <v>80.33</v>
      </c>
      <c r="L462" s="7" t="n">
        <v>7069.16</v>
      </c>
      <c r="M462" s="7" t="inlineStr">
        <is>
          <t>Pending</t>
        </is>
      </c>
    </row>
    <row r="463">
      <c r="A463" s="7" t="inlineStr">
        <is>
          <t>PO-00018</t>
        </is>
      </c>
      <c r="B463" s="9" t="n">
        <v>45948</v>
      </c>
      <c r="C463" s="7" t="inlineStr">
        <is>
          <t>Goods Receipt</t>
        </is>
      </c>
      <c r="D463" s="7" t="inlineStr">
        <is>
          <t>SUP002</t>
        </is>
      </c>
      <c r="E463" s="7" t="inlineStr">
        <is>
          <t>Apex Office Supply Ltd</t>
        </is>
      </c>
      <c r="F463" s="7" t="inlineStr">
        <is>
          <t>Office Supplies</t>
        </is>
      </c>
      <c r="G463" s="7" t="inlineStr">
        <is>
          <t>Printer paper</t>
        </is>
      </c>
      <c r="H463" s="7" t="inlineStr">
        <is>
          <t>Operations</t>
        </is>
      </c>
      <c r="I463" s="7" t="inlineStr">
        <is>
          <t>West</t>
        </is>
      </c>
      <c r="J463" s="7" t="n">
        <v>9</v>
      </c>
      <c r="K463" s="7" t="n">
        <v>978.83</v>
      </c>
      <c r="L463" s="7" t="n">
        <v>8809.51</v>
      </c>
      <c r="M463" s="7" t="inlineStr">
        <is>
          <t>Overdue</t>
        </is>
      </c>
    </row>
    <row r="464">
      <c r="A464" s="7" t="inlineStr">
        <is>
          <t>PO-00277</t>
        </is>
      </c>
      <c r="B464" s="9" t="n">
        <v>45948</v>
      </c>
      <c r="C464" s="7" t="inlineStr">
        <is>
          <t>Invoice</t>
        </is>
      </c>
      <c r="D464" s="7" t="inlineStr">
        <is>
          <t>SUP008</t>
        </is>
      </c>
      <c r="E464" s="7" t="inlineStr">
        <is>
          <t>GreenLeaf Packaging</t>
        </is>
      </c>
      <c r="F464" s="7" t="inlineStr">
        <is>
          <t>Packaging</t>
        </is>
      </c>
      <c r="G464" s="7" t="inlineStr">
        <is>
          <t>Labels</t>
        </is>
      </c>
      <c r="H464" s="7" t="inlineStr">
        <is>
          <t>Manufacturing</t>
        </is>
      </c>
      <c r="I464" s="7" t="inlineStr">
        <is>
          <t>North</t>
        </is>
      </c>
      <c r="J464" s="7" t="n">
        <v>88</v>
      </c>
      <c r="K464" s="7" t="n">
        <v>189.14</v>
      </c>
      <c r="L464" s="7" t="n">
        <v>16643.97</v>
      </c>
      <c r="M464" s="7" t="inlineStr">
        <is>
          <t>Paid</t>
        </is>
      </c>
    </row>
    <row r="465">
      <c r="A465" s="7" t="inlineStr">
        <is>
          <t>PO-00490</t>
        </is>
      </c>
      <c r="B465" s="9" t="n">
        <v>45948</v>
      </c>
      <c r="C465" s="7" t="inlineStr">
        <is>
          <t>Invoice</t>
        </is>
      </c>
      <c r="D465" s="7" t="inlineStr">
        <is>
          <t>SUP001</t>
        </is>
      </c>
      <c r="E465" s="7" t="inlineStr">
        <is>
          <t>Apex Office Supplies</t>
        </is>
      </c>
      <c r="F465" s="7" t="inlineStr">
        <is>
          <t>Office Supplies</t>
        </is>
      </c>
      <c r="G465" s="7" t="inlineStr">
        <is>
          <t>Toner cartridges</t>
        </is>
      </c>
      <c r="H465" s="7" t="inlineStr">
        <is>
          <t>Manufacturing</t>
        </is>
      </c>
      <c r="I465" s="7" t="inlineStr">
        <is>
          <t>North</t>
        </is>
      </c>
      <c r="J465" s="7" t="n">
        <v>71</v>
      </c>
      <c r="K465" s="7" t="n">
        <v>236.49</v>
      </c>
      <c r="L465" s="7" t="n">
        <v>16790.77</v>
      </c>
      <c r="M465" s="7" t="inlineStr">
        <is>
          <t>Pending</t>
        </is>
      </c>
    </row>
    <row r="466">
      <c r="A466" s="7" t="inlineStr">
        <is>
          <t>PO-00408</t>
        </is>
      </c>
      <c r="B466" s="9" t="n">
        <v>45949</v>
      </c>
      <c r="C466" s="7" t="inlineStr">
        <is>
          <t>Purchase Order</t>
        </is>
      </c>
      <c r="D466" s="7" t="inlineStr">
        <is>
          <t>SUP001</t>
        </is>
      </c>
      <c r="E466" s="7" t="inlineStr">
        <is>
          <t>Apex Office Supplies</t>
        </is>
      </c>
      <c r="F466" s="7" t="inlineStr">
        <is>
          <t>Office Supplies</t>
        </is>
      </c>
      <c r="G466" s="7" t="inlineStr">
        <is>
          <t>Printer paper</t>
        </is>
      </c>
      <c r="H466" s="7" t="inlineStr">
        <is>
          <t>Corporate</t>
        </is>
      </c>
      <c r="I466" s="7" t="inlineStr">
        <is>
          <t>West</t>
        </is>
      </c>
      <c r="J466" s="7" t="n">
        <v>26</v>
      </c>
      <c r="K466" s="7" t="n">
        <v>606.47</v>
      </c>
      <c r="L466" s="7" t="n">
        <v>15768.23</v>
      </c>
      <c r="M466" s="7" t="inlineStr">
        <is>
          <t>Paid</t>
        </is>
      </c>
    </row>
    <row r="467">
      <c r="A467" s="7" t="inlineStr">
        <is>
          <t>PO-00050</t>
        </is>
      </c>
      <c r="B467" s="9" t="n">
        <v>45949</v>
      </c>
      <c r="C467" s="7" t="inlineStr">
        <is>
          <t>Invoice</t>
        </is>
      </c>
      <c r="D467" s="7" t="inlineStr">
        <is>
          <t>SUP005</t>
        </is>
      </c>
      <c r="E467" s="7" t="inlineStr">
        <is>
          <t>Metro Logistics</t>
        </is>
      </c>
      <c r="F467" s="7" t="inlineStr">
        <is>
          <t>Logistics</t>
        </is>
      </c>
      <c r="G467" s="7" t="inlineStr">
        <is>
          <t>Freight services</t>
        </is>
      </c>
      <c r="H467" s="7" t="inlineStr">
        <is>
          <t>Sales</t>
        </is>
      </c>
      <c r="I467" s="7" t="inlineStr">
        <is>
          <t>East</t>
        </is>
      </c>
      <c r="J467" s="7" t="n">
        <v>39</v>
      </c>
      <c r="K467" s="7" t="n">
        <v>655.02</v>
      </c>
      <c r="L467" s="7" t="n">
        <v>25545.91</v>
      </c>
      <c r="M467" s="7" t="inlineStr">
        <is>
          <t>Pending</t>
        </is>
      </c>
    </row>
    <row r="468">
      <c r="A468" s="7" t="inlineStr">
        <is>
          <t>PO-00596</t>
        </is>
      </c>
      <c r="B468" s="9" t="n">
        <v>45950</v>
      </c>
      <c r="C468" s="7" t="inlineStr">
        <is>
          <t>Goods Receipt</t>
        </is>
      </c>
      <c r="D468" s="7" t="inlineStr">
        <is>
          <t>SUP007</t>
        </is>
      </c>
      <c r="E468" s="7" t="inlineStr">
        <is>
          <t>BrightClean Facilities</t>
        </is>
      </c>
      <c r="F468" s="7" t="inlineStr">
        <is>
          <t>Facilities</t>
        </is>
      </c>
      <c r="G468" s="7" t="inlineStr">
        <is>
          <t>Facility maintenance</t>
        </is>
      </c>
      <c r="H468" s="7" t="inlineStr">
        <is>
          <t>Sales</t>
        </is>
      </c>
      <c r="I468" s="7" t="inlineStr">
        <is>
          <t>South</t>
        </is>
      </c>
      <c r="J468" s="7" t="n">
        <v>10</v>
      </c>
      <c r="K468" s="7" t="n">
        <v>400.78</v>
      </c>
      <c r="L468" s="7" t="n">
        <v>4007.78</v>
      </c>
      <c r="M468" s="7" t="inlineStr">
        <is>
          <t>Pending</t>
        </is>
      </c>
    </row>
    <row r="469">
      <c r="A469" s="7" t="inlineStr">
        <is>
          <t>PO-00023</t>
        </is>
      </c>
      <c r="B469" s="9" t="n">
        <v>45950</v>
      </c>
      <c r="C469" s="7" t="inlineStr">
        <is>
          <t>Invoice</t>
        </is>
      </c>
      <c r="D469" s="7" t="inlineStr">
        <is>
          <t>SUP010</t>
        </is>
      </c>
      <c r="E469" s="7" t="inlineStr">
        <is>
          <t>Urban Energy Solutions</t>
        </is>
      </c>
      <c r="F469" s="7" t="inlineStr">
        <is>
          <t>Utilities</t>
        </is>
      </c>
      <c r="G469" s="7" t="inlineStr">
        <is>
          <t>Electricity</t>
        </is>
      </c>
      <c r="H469" s="7" t="inlineStr">
        <is>
          <t>Corporate</t>
        </is>
      </c>
      <c r="I469" s="7" t="inlineStr">
        <is>
          <t>North</t>
        </is>
      </c>
      <c r="J469" s="7" t="n">
        <v>104</v>
      </c>
      <c r="K469" s="7" t="n">
        <v>136.05</v>
      </c>
      <c r="L469" s="7" t="n">
        <v>14149</v>
      </c>
      <c r="M469" s="7" t="inlineStr">
        <is>
          <t>Overdue</t>
        </is>
      </c>
    </row>
    <row r="470">
      <c r="A470" s="7" t="inlineStr">
        <is>
          <t>PO-00488</t>
        </is>
      </c>
      <c r="B470" s="9" t="n">
        <v>45951</v>
      </c>
      <c r="C470" s="7" t="inlineStr">
        <is>
          <t>Invoice</t>
        </is>
      </c>
      <c r="D470" s="7" t="inlineStr">
        <is>
          <t>SUP010</t>
        </is>
      </c>
      <c r="E470" s="7" t="inlineStr">
        <is>
          <t>Urban Energy Solutions</t>
        </is>
      </c>
      <c r="F470" s="7" t="inlineStr">
        <is>
          <t>Utilities</t>
        </is>
      </c>
      <c r="G470" s="7" t="inlineStr">
        <is>
          <t>Electricity</t>
        </is>
      </c>
      <c r="H470" s="7" t="inlineStr">
        <is>
          <t>Technology</t>
        </is>
      </c>
      <c r="I470" s="7" t="inlineStr">
        <is>
          <t>South</t>
        </is>
      </c>
      <c r="J470" s="7" t="n">
        <v>11</v>
      </c>
      <c r="K470" s="7" t="n">
        <v>900.89</v>
      </c>
      <c r="L470" s="7" t="n">
        <v>9909.76</v>
      </c>
      <c r="M470" s="7" t="inlineStr">
        <is>
          <t>Pending</t>
        </is>
      </c>
    </row>
    <row r="471">
      <c r="A471" s="7" t="inlineStr">
        <is>
          <t>PO-00452</t>
        </is>
      </c>
      <c r="B471" s="9" t="n">
        <v>45951</v>
      </c>
      <c r="C471" s="7" t="inlineStr">
        <is>
          <t>Purchase Order</t>
        </is>
      </c>
      <c r="D471" s="7" t="inlineStr">
        <is>
          <t>SUP008</t>
        </is>
      </c>
      <c r="E471" s="7" t="inlineStr">
        <is>
          <t>GreenLeaf Packaging</t>
        </is>
      </c>
      <c r="F471" s="7" t="inlineStr">
        <is>
          <t>Packaging</t>
        </is>
      </c>
      <c r="G471" s="7" t="inlineStr">
        <is>
          <t>Protective packaging</t>
        </is>
      </c>
      <c r="H471" s="7" t="inlineStr">
        <is>
          <t>Corporate</t>
        </is>
      </c>
      <c r="I471" s="7" t="inlineStr">
        <is>
          <t>North</t>
        </is>
      </c>
      <c r="J471" s="7" t="n">
        <v>41</v>
      </c>
      <c r="K471" s="7" t="n">
        <v>220.3</v>
      </c>
      <c r="L471" s="7" t="n">
        <v>9032.4</v>
      </c>
      <c r="M471" s="7" t="inlineStr">
        <is>
          <t>Pending</t>
        </is>
      </c>
    </row>
    <row r="472">
      <c r="A472" s="7" t="inlineStr">
        <is>
          <t>PO-00255</t>
        </is>
      </c>
      <c r="B472" s="9" t="n">
        <v>45952</v>
      </c>
      <c r="C472" s="7" t="inlineStr">
        <is>
          <t>Invoice</t>
        </is>
      </c>
      <c r="D472" s="7" t="inlineStr">
        <is>
          <t>SUP006</t>
        </is>
      </c>
      <c r="E472" s="7" t="inlineStr">
        <is>
          <t>Metro Logistics Pvt Ltd</t>
        </is>
      </c>
      <c r="F472" s="7" t="inlineStr">
        <is>
          <t>Logistics</t>
        </is>
      </c>
      <c r="G472" s="7" t="inlineStr">
        <is>
          <t>Freight services</t>
        </is>
      </c>
      <c r="H472" s="7" t="inlineStr">
        <is>
          <t>Technology</t>
        </is>
      </c>
      <c r="I472" s="7" t="inlineStr">
        <is>
          <t>South</t>
        </is>
      </c>
      <c r="J472" s="7" t="n">
        <v>105</v>
      </c>
      <c r="K472" s="7" t="n">
        <v>225.58</v>
      </c>
      <c r="L472" s="7" t="n">
        <v>23686.07</v>
      </c>
      <c r="M472" s="7" t="inlineStr">
        <is>
          <t>Overdue</t>
        </is>
      </c>
    </row>
    <row r="473">
      <c r="A473" s="7" t="inlineStr">
        <is>
          <t>PO-00530</t>
        </is>
      </c>
      <c r="B473" s="9" t="n">
        <v>45952</v>
      </c>
      <c r="C473" s="7" t="inlineStr">
        <is>
          <t>Goods Receipt</t>
        </is>
      </c>
      <c r="D473" s="7" t="inlineStr">
        <is>
          <t>SUP001</t>
        </is>
      </c>
      <c r="E473" s="7" t="inlineStr">
        <is>
          <t>Apex Office Supplies</t>
        </is>
      </c>
      <c r="F473" s="7" t="inlineStr">
        <is>
          <t>Office Supplies</t>
        </is>
      </c>
      <c r="G473" s="7" t="inlineStr">
        <is>
          <t>Printer paper</t>
        </is>
      </c>
      <c r="H473" s="7" t="inlineStr">
        <is>
          <t>Manufacturing</t>
        </is>
      </c>
      <c r="I473" s="7" t="inlineStr">
        <is>
          <t>East</t>
        </is>
      </c>
      <c r="J473" s="7" t="n">
        <v>14</v>
      </c>
      <c r="K473" s="7" t="n">
        <v>528.54</v>
      </c>
      <c r="L473" s="7" t="n">
        <v>7399.57</v>
      </c>
      <c r="M473" s="7" t="inlineStr">
        <is>
          <t>Pending</t>
        </is>
      </c>
    </row>
    <row r="474">
      <c r="A474" s="7" t="inlineStr">
        <is>
          <t>PO-00093</t>
        </is>
      </c>
      <c r="B474" s="9" t="n">
        <v>45952</v>
      </c>
      <c r="C474" s="7" t="inlineStr">
        <is>
          <t>Invoice</t>
        </is>
      </c>
      <c r="D474" s="7" t="inlineStr">
        <is>
          <t>SUP010</t>
        </is>
      </c>
      <c r="E474" s="7" t="inlineStr">
        <is>
          <t>Urban Energy Solutions</t>
        </is>
      </c>
      <c r="F474" s="7" t="inlineStr">
        <is>
          <t>Utilities</t>
        </is>
      </c>
      <c r="G474" s="7" t="inlineStr">
        <is>
          <t>Natural gas</t>
        </is>
      </c>
      <c r="H474" s="7" t="inlineStr">
        <is>
          <t>Corporate</t>
        </is>
      </c>
      <c r="I474" s="7" t="inlineStr">
        <is>
          <t>South</t>
        </is>
      </c>
      <c r="J474" s="7" t="n">
        <v>87</v>
      </c>
      <c r="K474" s="7" t="n">
        <v>206.81</v>
      </c>
      <c r="L474" s="7" t="n">
        <v>17992.35</v>
      </c>
      <c r="M474" s="7" t="inlineStr">
        <is>
          <t>Pending</t>
        </is>
      </c>
    </row>
    <row r="475">
      <c r="A475" s="7" t="inlineStr">
        <is>
          <t>PO-00201</t>
        </is>
      </c>
      <c r="B475" s="9" t="n">
        <v>45952</v>
      </c>
      <c r="C475" s="7" t="inlineStr">
        <is>
          <t>Invoice</t>
        </is>
      </c>
      <c r="D475" s="7" t="inlineStr">
        <is>
          <t>SUP002</t>
        </is>
      </c>
      <c r="E475" s="7" t="inlineStr">
        <is>
          <t>Apex Office Supply Ltd</t>
        </is>
      </c>
      <c r="F475" s="7" t="inlineStr">
        <is>
          <t>Office Supplies</t>
        </is>
      </c>
      <c r="G475" s="7" t="inlineStr">
        <is>
          <t>Pens and stationery</t>
        </is>
      </c>
      <c r="H475" s="7" t="inlineStr">
        <is>
          <t>Manufacturing</t>
        </is>
      </c>
      <c r="I475" s="7" t="inlineStr">
        <is>
          <t>East</t>
        </is>
      </c>
      <c r="J475" s="7" t="n">
        <v>10</v>
      </c>
      <c r="K475" s="7" t="n">
        <v>578.85</v>
      </c>
      <c r="L475" s="7" t="n">
        <v>5788.45</v>
      </c>
      <c r="M475" s="7" t="inlineStr">
        <is>
          <t>Paid</t>
        </is>
      </c>
    </row>
    <row r="476">
      <c r="A476" s="7" t="inlineStr">
        <is>
          <t>PO-00326</t>
        </is>
      </c>
      <c r="B476" s="9" t="n">
        <v>45953</v>
      </c>
      <c r="C476" s="7" t="inlineStr">
        <is>
          <t>Goods Receipt</t>
        </is>
      </c>
      <c r="D476" s="7" t="inlineStr">
        <is>
          <t>SUP003</t>
        </is>
      </c>
      <c r="E476" s="7" t="inlineStr">
        <is>
          <t>Northstar IT Services</t>
        </is>
      </c>
      <c r="F476" s="7" t="inlineStr">
        <is>
          <t>IT Services</t>
        </is>
      </c>
      <c r="G476" s="7" t="inlineStr">
        <is>
          <t>Software support</t>
        </is>
      </c>
      <c r="H476" s="7" t="inlineStr">
        <is>
          <t>Corporate</t>
        </is>
      </c>
      <c r="I476" s="7" t="inlineStr">
        <is>
          <t>North</t>
        </is>
      </c>
      <c r="J476" s="7" t="n">
        <v>44</v>
      </c>
      <c r="K476" s="7" t="n">
        <v>339.92</v>
      </c>
      <c r="L476" s="7" t="n">
        <v>14956.33</v>
      </c>
      <c r="M476" s="7" t="inlineStr">
        <is>
          <t>Overdue</t>
        </is>
      </c>
    </row>
    <row r="477">
      <c r="A477" s="7" t="inlineStr">
        <is>
          <t>PO-00166</t>
        </is>
      </c>
      <c r="B477" s="9" t="n">
        <v>45956</v>
      </c>
      <c r="C477" s="7" t="inlineStr">
        <is>
          <t>Goods Receipt</t>
        </is>
      </c>
      <c r="D477" s="7" t="inlineStr">
        <is>
          <t>SUP011</t>
        </is>
      </c>
      <c r="E477" s="7" t="inlineStr">
        <is>
          <t>Vertex Marketing</t>
        </is>
      </c>
      <c r="F477" s="7" t="inlineStr">
        <is>
          <t>Marketing</t>
        </is>
      </c>
      <c r="G477" s="7" t="inlineStr">
        <is>
          <t>Promotional materials</t>
        </is>
      </c>
      <c r="H477" s="7" t="inlineStr">
        <is>
          <t>Sales</t>
        </is>
      </c>
      <c r="I477" s="7" t="inlineStr">
        <is>
          <t>South</t>
        </is>
      </c>
      <c r="J477" s="7" t="n">
        <v>84</v>
      </c>
      <c r="K477" s="7" t="n">
        <v>75.89</v>
      </c>
      <c r="L477" s="7" t="n">
        <v>6374.8</v>
      </c>
      <c r="M477" s="7" t="inlineStr">
        <is>
          <t>Overdue</t>
        </is>
      </c>
    </row>
    <row r="478">
      <c r="A478" s="7" t="inlineStr">
        <is>
          <t>PO-00040</t>
        </is>
      </c>
      <c r="B478" s="9" t="n">
        <v>45956</v>
      </c>
      <c r="C478" s="7" t="inlineStr">
        <is>
          <t>Invoice</t>
        </is>
      </c>
      <c r="D478" s="7" t="inlineStr">
        <is>
          <t>SUP009</t>
        </is>
      </c>
      <c r="E478" s="7" t="inlineStr">
        <is>
          <t>Summit Consulting</t>
        </is>
      </c>
      <c r="F478" s="7" t="inlineStr">
        <is>
          <t>Professional Services</t>
        </is>
      </c>
      <c r="G478" s="7" t="inlineStr">
        <is>
          <t>Business consulting</t>
        </is>
      </c>
      <c r="H478" s="7" t="inlineStr">
        <is>
          <t>Technology</t>
        </is>
      </c>
      <c r="I478" s="7" t="inlineStr">
        <is>
          <t>South</t>
        </is>
      </c>
      <c r="J478" s="7" t="n">
        <v>40</v>
      </c>
      <c r="K478" s="7" t="n">
        <v>101.95</v>
      </c>
      <c r="L478" s="7" t="n">
        <v>4077.83</v>
      </c>
      <c r="M478" s="7" t="inlineStr">
        <is>
          <t>Overdue</t>
        </is>
      </c>
    </row>
    <row r="479">
      <c r="A479" s="7" t="inlineStr">
        <is>
          <t>PO-00574</t>
        </is>
      </c>
      <c r="B479" s="9" t="n">
        <v>45957</v>
      </c>
      <c r="C479" s="7" t="inlineStr">
        <is>
          <t>Goods Receipt</t>
        </is>
      </c>
      <c r="D479" s="7" t="inlineStr">
        <is>
          <t>SUP002</t>
        </is>
      </c>
      <c r="E479" s="7" t="inlineStr">
        <is>
          <t>Apex Office Supply Ltd</t>
        </is>
      </c>
      <c r="F479" s="7" t="inlineStr">
        <is>
          <t>Office Supplies</t>
        </is>
      </c>
      <c r="G479" s="7" t="inlineStr">
        <is>
          <t>Toner cartridges</t>
        </is>
      </c>
      <c r="H479" s="7" t="inlineStr">
        <is>
          <t>Sales</t>
        </is>
      </c>
      <c r="I479" s="7" t="inlineStr">
        <is>
          <t>South</t>
        </is>
      </c>
      <c r="J479" s="7" t="n">
        <v>6</v>
      </c>
      <c r="K479" s="7" t="n">
        <v>744.41</v>
      </c>
      <c r="L479" s="7" t="n">
        <v>4466.44</v>
      </c>
      <c r="M479" s="7" t="inlineStr">
        <is>
          <t>Pending</t>
        </is>
      </c>
    </row>
    <row r="480">
      <c r="A480" s="7" t="inlineStr">
        <is>
          <t>PO-00030</t>
        </is>
      </c>
      <c r="B480" s="9" t="n">
        <v>45957</v>
      </c>
      <c r="C480" s="7" t="inlineStr">
        <is>
          <t>Purchase Order</t>
        </is>
      </c>
      <c r="D480" s="7" t="inlineStr">
        <is>
          <t>SUP008</t>
        </is>
      </c>
      <c r="E480" s="7" t="inlineStr">
        <is>
          <t>GreenLeaf Packaging</t>
        </is>
      </c>
      <c r="F480" s="7" t="inlineStr">
        <is>
          <t>Packaging</t>
        </is>
      </c>
      <c r="G480" s="7" t="inlineStr">
        <is>
          <t>Labels</t>
        </is>
      </c>
      <c r="H480" s="7" t="inlineStr">
        <is>
          <t>Corporate</t>
        </is>
      </c>
      <c r="I480" s="7" t="inlineStr">
        <is>
          <t>South</t>
        </is>
      </c>
      <c r="J480" s="7" t="n">
        <v>21</v>
      </c>
      <c r="K480" s="7" t="n">
        <v>731.74</v>
      </c>
      <c r="L480" s="7" t="n">
        <v>15366.63</v>
      </c>
      <c r="M480" s="7" t="inlineStr">
        <is>
          <t>Paid</t>
        </is>
      </c>
    </row>
    <row r="481">
      <c r="A481" s="7" t="inlineStr">
        <is>
          <t>PO-00012</t>
        </is>
      </c>
      <c r="B481" s="9" t="n">
        <v>45957</v>
      </c>
      <c r="C481" s="7" t="inlineStr">
        <is>
          <t>Purchase Order</t>
        </is>
      </c>
      <c r="D481" s="7" t="inlineStr">
        <is>
          <t>SUP007</t>
        </is>
      </c>
      <c r="E481" s="7" t="inlineStr">
        <is>
          <t>BrightClean Facilities</t>
        </is>
      </c>
      <c r="F481" s="7" t="inlineStr">
        <is>
          <t>Facilities</t>
        </is>
      </c>
      <c r="G481" s="7" t="inlineStr">
        <is>
          <t>Security services</t>
        </is>
      </c>
      <c r="H481" s="7" t="inlineStr">
        <is>
          <t>Sales</t>
        </is>
      </c>
      <c r="I481" s="7" t="inlineStr">
        <is>
          <t>North</t>
        </is>
      </c>
      <c r="J481" s="7" t="n">
        <v>29</v>
      </c>
      <c r="K481" s="7" t="n">
        <v>250.39</v>
      </c>
      <c r="L481" s="7" t="n">
        <v>7261.28</v>
      </c>
      <c r="M481" s="7" t="inlineStr">
        <is>
          <t>Paid</t>
        </is>
      </c>
    </row>
    <row r="482">
      <c r="A482" s="7" t="inlineStr">
        <is>
          <t>PO-00115</t>
        </is>
      </c>
      <c r="B482" s="9" t="n">
        <v>45958</v>
      </c>
      <c r="C482" s="7" t="inlineStr">
        <is>
          <t>Invoice</t>
        </is>
      </c>
      <c r="D482" s="7" t="inlineStr">
        <is>
          <t>SUP005</t>
        </is>
      </c>
      <c r="E482" s="7" t="inlineStr">
        <is>
          <t>Metro Logistics</t>
        </is>
      </c>
      <c r="F482" s="7" t="inlineStr">
        <is>
          <t>Logistics</t>
        </is>
      </c>
      <c r="G482" s="7" t="inlineStr">
        <is>
          <t>Courier services</t>
        </is>
      </c>
      <c r="H482" s="7" t="inlineStr">
        <is>
          <t>Operations</t>
        </is>
      </c>
      <c r="I482" s="7" t="inlineStr">
        <is>
          <t>West</t>
        </is>
      </c>
      <c r="J482" s="7" t="n">
        <v>33</v>
      </c>
      <c r="K482" s="7" t="n">
        <v>397.01</v>
      </c>
      <c r="L482" s="7" t="n">
        <v>13101.29</v>
      </c>
      <c r="M482" s="7" t="inlineStr">
        <is>
          <t>Pending</t>
        </is>
      </c>
    </row>
    <row r="483">
      <c r="A483" s="7" t="inlineStr">
        <is>
          <t>PO-00086</t>
        </is>
      </c>
      <c r="B483" s="9" t="n">
        <v>45959</v>
      </c>
      <c r="C483" s="7" t="inlineStr">
        <is>
          <t>Goods Receipt</t>
        </is>
      </c>
      <c r="D483" s="7" t="inlineStr">
        <is>
          <t>SUP007</t>
        </is>
      </c>
      <c r="E483" s="7" t="inlineStr">
        <is>
          <t>BrightClean Facilities</t>
        </is>
      </c>
      <c r="F483" s="7" t="inlineStr">
        <is>
          <t>Facilities</t>
        </is>
      </c>
      <c r="G483" s="7" t="inlineStr">
        <is>
          <t>Cleaning services</t>
        </is>
      </c>
      <c r="H483" s="7" t="inlineStr">
        <is>
          <t>Operations</t>
        </is>
      </c>
      <c r="I483" s="7" t="inlineStr">
        <is>
          <t>South</t>
        </is>
      </c>
      <c r="J483" s="7" t="n">
        <v>79</v>
      </c>
      <c r="K483" s="7" t="n">
        <v>142.08</v>
      </c>
      <c r="L483" s="7" t="n">
        <v>11223.97</v>
      </c>
      <c r="M483" s="7" t="inlineStr">
        <is>
          <t>Pending</t>
        </is>
      </c>
    </row>
    <row r="484">
      <c r="A484" s="7" t="inlineStr">
        <is>
          <t>PO-00309</t>
        </is>
      </c>
      <c r="B484" s="9" t="n">
        <v>45960</v>
      </c>
      <c r="C484" s="7" t="inlineStr">
        <is>
          <t>Invoice</t>
        </is>
      </c>
      <c r="D484" s="7" t="inlineStr">
        <is>
          <t>SUP002</t>
        </is>
      </c>
      <c r="E484" s="7" t="inlineStr">
        <is>
          <t>Apex Office Supply Ltd</t>
        </is>
      </c>
      <c r="F484" s="7" t="inlineStr">
        <is>
          <t>Office Supplies</t>
        </is>
      </c>
      <c r="G484" s="7" t="inlineStr">
        <is>
          <t>Printer paper</t>
        </is>
      </c>
      <c r="H484" s="7" t="inlineStr">
        <is>
          <t>Operations</t>
        </is>
      </c>
      <c r="I484" s="7" t="inlineStr">
        <is>
          <t>East</t>
        </is>
      </c>
      <c r="J484" s="7" t="n">
        <v>31</v>
      </c>
      <c r="K484" s="7" t="n">
        <v>184.51</v>
      </c>
      <c r="L484" s="7" t="n">
        <v>5719.76</v>
      </c>
      <c r="M484" s="7" t="inlineStr">
        <is>
          <t>Overdue</t>
        </is>
      </c>
    </row>
    <row r="485">
      <c r="A485" s="7" t="inlineStr">
        <is>
          <t>PO-00253</t>
        </is>
      </c>
      <c r="B485" s="9" t="n">
        <v>45962</v>
      </c>
      <c r="C485" s="7" t="inlineStr">
        <is>
          <t>Purchase Order</t>
        </is>
      </c>
      <c r="D485" s="7" t="inlineStr">
        <is>
          <t>SUP001</t>
        </is>
      </c>
      <c r="E485" s="7" t="inlineStr">
        <is>
          <t>Apex Office Supplies</t>
        </is>
      </c>
      <c r="F485" s="7" t="inlineStr">
        <is>
          <t>Office Supplies</t>
        </is>
      </c>
      <c r="G485" s="7" t="inlineStr">
        <is>
          <t>Printer paper</t>
        </is>
      </c>
      <c r="H485" s="7" t="inlineStr">
        <is>
          <t>Corporate</t>
        </is>
      </c>
      <c r="I485" s="7" t="inlineStr">
        <is>
          <t>West</t>
        </is>
      </c>
      <c r="J485" s="7" t="n">
        <v>112</v>
      </c>
      <c r="K485" s="7" t="n">
        <v>108.36</v>
      </c>
      <c r="L485" s="7" t="n">
        <v>12135.78</v>
      </c>
      <c r="M485" s="7" t="inlineStr">
        <is>
          <t>Pending</t>
        </is>
      </c>
    </row>
    <row r="486">
      <c r="A486" s="7" t="inlineStr">
        <is>
          <t>PO-00161</t>
        </is>
      </c>
      <c r="B486" s="9" t="n">
        <v>45962</v>
      </c>
      <c r="C486" s="7" t="inlineStr">
        <is>
          <t>Goods Receipt</t>
        </is>
      </c>
      <c r="D486" s="7" t="inlineStr">
        <is>
          <t>SUP009</t>
        </is>
      </c>
      <c r="E486" s="7" t="inlineStr">
        <is>
          <t>Summit Consulting</t>
        </is>
      </c>
      <c r="F486" s="7" t="inlineStr">
        <is>
          <t>Professional Services</t>
        </is>
      </c>
      <c r="G486" s="7" t="inlineStr">
        <is>
          <t>Business consulting</t>
        </is>
      </c>
      <c r="H486" s="7" t="inlineStr">
        <is>
          <t>Sales</t>
        </is>
      </c>
      <c r="I486" s="7" t="inlineStr">
        <is>
          <t>South</t>
        </is>
      </c>
      <c r="J486" s="7" t="n">
        <v>102</v>
      </c>
      <c r="K486" s="7" t="n">
        <v>174.94</v>
      </c>
      <c r="L486" s="7" t="n">
        <v>17843.69</v>
      </c>
      <c r="M486" s="7" t="inlineStr">
        <is>
          <t>Pending</t>
        </is>
      </c>
    </row>
    <row r="487">
      <c r="A487" s="7" t="inlineStr">
        <is>
          <t>PO-00388</t>
        </is>
      </c>
      <c r="B487" s="9" t="n">
        <v>45962</v>
      </c>
      <c r="C487" s="7" t="inlineStr">
        <is>
          <t>Goods Receipt</t>
        </is>
      </c>
      <c r="D487" s="7" t="inlineStr">
        <is>
          <t>SUP010</t>
        </is>
      </c>
      <c r="E487" s="7" t="inlineStr">
        <is>
          <t>Urban Energy Solutions</t>
        </is>
      </c>
      <c r="F487" s="7" t="inlineStr">
        <is>
          <t>Utilities</t>
        </is>
      </c>
      <c r="G487" s="7" t="inlineStr">
        <is>
          <t>Electricity</t>
        </is>
      </c>
      <c r="H487" s="7" t="inlineStr">
        <is>
          <t>Manufacturing</t>
        </is>
      </c>
      <c r="I487" s="7" t="inlineStr">
        <is>
          <t>West</t>
        </is>
      </c>
      <c r="J487" s="7" t="n">
        <v>56</v>
      </c>
      <c r="K487" s="7" t="n">
        <v>227.08</v>
      </c>
      <c r="L487" s="7" t="n">
        <v>12716.54</v>
      </c>
      <c r="M487" s="7" t="inlineStr">
        <is>
          <t>Paid</t>
        </is>
      </c>
    </row>
    <row r="488">
      <c r="A488" s="7" t="inlineStr">
        <is>
          <t>PO-00031</t>
        </is>
      </c>
      <c r="B488" s="9" t="n">
        <v>45962</v>
      </c>
      <c r="C488" s="7" t="inlineStr">
        <is>
          <t>Goods Receipt</t>
        </is>
      </c>
      <c r="D488" s="7" t="inlineStr">
        <is>
          <t>SUP002</t>
        </is>
      </c>
      <c r="E488" s="7" t="inlineStr">
        <is>
          <t>Apex Office Supply Ltd</t>
        </is>
      </c>
      <c r="F488" s="7" t="inlineStr">
        <is>
          <t>Office Supplies</t>
        </is>
      </c>
      <c r="G488" s="7" t="inlineStr">
        <is>
          <t>Printer paper</t>
        </is>
      </c>
      <c r="H488" s="7" t="inlineStr">
        <is>
          <t>Manufacturing</t>
        </is>
      </c>
      <c r="I488" s="7" t="inlineStr">
        <is>
          <t>North</t>
        </is>
      </c>
      <c r="J488" s="7" t="n">
        <v>16</v>
      </c>
      <c r="K488" s="7" t="n">
        <v>270.34</v>
      </c>
      <c r="L488" s="7" t="n">
        <v>4325.45</v>
      </c>
      <c r="M488" s="7" t="inlineStr">
        <is>
          <t>Overdue</t>
        </is>
      </c>
    </row>
    <row r="489">
      <c r="A489" s="7" t="inlineStr">
        <is>
          <t>PO-00088</t>
        </is>
      </c>
      <c r="B489" s="9" t="n">
        <v>45962</v>
      </c>
      <c r="C489" s="7" t="inlineStr">
        <is>
          <t>Invoice</t>
        </is>
      </c>
      <c r="D489" s="7" t="inlineStr">
        <is>
          <t>SUP008</t>
        </is>
      </c>
      <c r="E489" s="7" t="inlineStr">
        <is>
          <t>GreenLeaf Packaging</t>
        </is>
      </c>
      <c r="F489" s="7" t="inlineStr">
        <is>
          <t>Packaging</t>
        </is>
      </c>
      <c r="G489" s="7" t="inlineStr">
        <is>
          <t>Labels</t>
        </is>
      </c>
      <c r="H489" s="7" t="inlineStr">
        <is>
          <t>Sales</t>
        </is>
      </c>
      <c r="I489" s="7" t="inlineStr">
        <is>
          <t>North</t>
        </is>
      </c>
      <c r="J489" s="7" t="n">
        <v>91</v>
      </c>
      <c r="K489" s="7" t="n">
        <v>46.8</v>
      </c>
      <c r="L489" s="7" t="n">
        <v>4258.8</v>
      </c>
      <c r="M489" s="7" t="inlineStr">
        <is>
          <t>Overdue</t>
        </is>
      </c>
    </row>
    <row r="490">
      <c r="A490" s="7" t="inlineStr">
        <is>
          <t>PO-00559</t>
        </is>
      </c>
      <c r="B490" s="9" t="n">
        <v>45963</v>
      </c>
      <c r="C490" s="7" t="inlineStr">
        <is>
          <t>Invoice</t>
        </is>
      </c>
      <c r="D490" s="7" t="inlineStr">
        <is>
          <t>SUP008</t>
        </is>
      </c>
      <c r="E490" s="7" t="inlineStr"/>
      <c r="F490" s="7" t="inlineStr">
        <is>
          <t>Packaging</t>
        </is>
      </c>
      <c r="G490" s="7" t="inlineStr">
        <is>
          <t>Labels</t>
        </is>
      </c>
      <c r="H490" s="7" t="inlineStr">
        <is>
          <t>Manufacturing</t>
        </is>
      </c>
      <c r="I490" s="7" t="inlineStr">
        <is>
          <t>East</t>
        </is>
      </c>
      <c r="J490" s="7" t="n">
        <v>73</v>
      </c>
      <c r="K490" s="7" t="n">
        <v>157.38</v>
      </c>
      <c r="L490" s="7" t="n">
        <v>11489.02</v>
      </c>
      <c r="M490" s="7" t="inlineStr">
        <is>
          <t>Pending</t>
        </is>
      </c>
    </row>
    <row r="491">
      <c r="A491" s="7" t="inlineStr">
        <is>
          <t>PO-00046</t>
        </is>
      </c>
      <c r="B491" s="9" t="n">
        <v>45963</v>
      </c>
      <c r="C491" s="7" t="inlineStr">
        <is>
          <t>Goods Receipt</t>
        </is>
      </c>
      <c r="D491" s="7" t="inlineStr">
        <is>
          <t>SUP007</t>
        </is>
      </c>
      <c r="E491" s="7" t="inlineStr">
        <is>
          <t>BrightClean Facilities</t>
        </is>
      </c>
      <c r="F491" s="7" t="inlineStr">
        <is>
          <t>Facilities</t>
        </is>
      </c>
      <c r="G491" s="7" t="inlineStr">
        <is>
          <t>Security services</t>
        </is>
      </c>
      <c r="H491" s="7" t="inlineStr">
        <is>
          <t>Corporate</t>
        </is>
      </c>
      <c r="I491" s="7" t="inlineStr">
        <is>
          <t>West</t>
        </is>
      </c>
      <c r="J491" s="7" t="n">
        <v>56</v>
      </c>
      <c r="K491" s="7" t="n">
        <v>253.24</v>
      </c>
      <c r="L491" s="7" t="n">
        <v>14181.34</v>
      </c>
      <c r="M491" s="7" t="inlineStr">
        <is>
          <t>Overdue</t>
        </is>
      </c>
    </row>
    <row r="492">
      <c r="A492" s="7" t="inlineStr">
        <is>
          <t>PO-00372</t>
        </is>
      </c>
      <c r="B492" s="9" t="n">
        <v>45963</v>
      </c>
      <c r="C492" s="7" t="inlineStr">
        <is>
          <t>Goods Receipt</t>
        </is>
      </c>
      <c r="D492" s="7" t="inlineStr">
        <is>
          <t>SUP004</t>
        </is>
      </c>
      <c r="E492" s="7" t="inlineStr">
        <is>
          <t>North Star IT Svc</t>
        </is>
      </c>
      <c r="F492" s="7" t="inlineStr">
        <is>
          <t>Packaging</t>
        </is>
      </c>
      <c r="G492" s="7" t="inlineStr">
        <is>
          <t>Protective packaging</t>
        </is>
      </c>
      <c r="H492" s="7" t="inlineStr">
        <is>
          <t>Manufacturing</t>
        </is>
      </c>
      <c r="I492" s="7" t="inlineStr">
        <is>
          <t>South</t>
        </is>
      </c>
      <c r="J492" s="7" t="n">
        <v>61</v>
      </c>
      <c r="K492" s="7" t="n">
        <v>19.14</v>
      </c>
      <c r="L492" s="7" t="n">
        <v>1167.61</v>
      </c>
      <c r="M492" s="7" t="inlineStr">
        <is>
          <t>Paid</t>
        </is>
      </c>
    </row>
    <row r="493">
      <c r="A493" s="7" t="inlineStr">
        <is>
          <t>PO-00138</t>
        </is>
      </c>
      <c r="B493" s="9" t="n">
        <v>45963</v>
      </c>
      <c r="C493" s="7" t="inlineStr">
        <is>
          <t>Purchase Order</t>
        </is>
      </c>
      <c r="D493" s="7" t="inlineStr">
        <is>
          <t>SUP009</t>
        </is>
      </c>
      <c r="E493" s="7" t="inlineStr">
        <is>
          <t>Summit Consulting</t>
        </is>
      </c>
      <c r="F493" s="7" t="inlineStr">
        <is>
          <t>Professional Services</t>
        </is>
      </c>
      <c r="G493" s="7" t="inlineStr">
        <is>
          <t>Audit support</t>
        </is>
      </c>
      <c r="H493" s="7" t="inlineStr">
        <is>
          <t>Corporate</t>
        </is>
      </c>
      <c r="I493" s="7" t="inlineStr">
        <is>
          <t>South</t>
        </is>
      </c>
      <c r="J493" s="7" t="n">
        <v>56</v>
      </c>
      <c r="K493" s="7" t="n">
        <v>278.05</v>
      </c>
      <c r="L493" s="7" t="n">
        <v>15570.73</v>
      </c>
      <c r="M493" s="7" t="inlineStr">
        <is>
          <t>Pending</t>
        </is>
      </c>
    </row>
    <row r="494">
      <c r="A494" s="7" t="inlineStr">
        <is>
          <t>PO-00092</t>
        </is>
      </c>
      <c r="B494" s="9" t="n">
        <v>45964</v>
      </c>
      <c r="C494" s="7" t="inlineStr">
        <is>
          <t>Invoice</t>
        </is>
      </c>
      <c r="D494" s="7" t="inlineStr">
        <is>
          <t>SUP001</t>
        </is>
      </c>
      <c r="E494" s="7" t="inlineStr">
        <is>
          <t>Apex Office Supplies</t>
        </is>
      </c>
      <c r="F494" s="7" t="inlineStr">
        <is>
          <t>Office Supplies</t>
        </is>
      </c>
      <c r="G494" s="7" t="inlineStr">
        <is>
          <t>Printer paper</t>
        </is>
      </c>
      <c r="H494" s="7" t="inlineStr">
        <is>
          <t>Corporate</t>
        </is>
      </c>
      <c r="I494" s="7" t="inlineStr">
        <is>
          <t>South</t>
        </is>
      </c>
      <c r="J494" s="7" t="n">
        <v>78</v>
      </c>
      <c r="K494" s="7" t="n">
        <v>169.92</v>
      </c>
      <c r="L494" s="7" t="n">
        <v>13253.47</v>
      </c>
      <c r="M494" s="7" t="inlineStr">
        <is>
          <t>Overdue</t>
        </is>
      </c>
    </row>
    <row r="495">
      <c r="A495" s="7" t="inlineStr">
        <is>
          <t>PO-00579</t>
        </is>
      </c>
      <c r="B495" s="9" t="n">
        <v>45964</v>
      </c>
      <c r="C495" s="7" t="inlineStr">
        <is>
          <t>Invoice</t>
        </is>
      </c>
      <c r="D495" s="7" t="inlineStr">
        <is>
          <t>SUP009</t>
        </is>
      </c>
      <c r="E495" s="7" t="inlineStr">
        <is>
          <t>Summit Consulting</t>
        </is>
      </c>
      <c r="F495" s="7" t="inlineStr">
        <is>
          <t>Professional Services</t>
        </is>
      </c>
      <c r="G495" s="7" t="inlineStr">
        <is>
          <t>Training services</t>
        </is>
      </c>
      <c r="H495" s="7" t="inlineStr">
        <is>
          <t>Manufacturing</t>
        </is>
      </c>
      <c r="I495" s="7" t="inlineStr">
        <is>
          <t>East</t>
        </is>
      </c>
      <c r="J495" s="7" t="n">
        <v>58</v>
      </c>
      <c r="K495" s="7" t="n">
        <v>281.87</v>
      </c>
      <c r="L495" s="7" t="n">
        <v>16348.45</v>
      </c>
      <c r="M495" s="7" t="inlineStr">
        <is>
          <t>Pending</t>
        </is>
      </c>
    </row>
    <row r="496">
      <c r="A496" s="7" t="inlineStr">
        <is>
          <t>PO-00162</t>
        </is>
      </c>
      <c r="B496" s="9" t="n">
        <v>45967</v>
      </c>
      <c r="C496" s="7" t="inlineStr">
        <is>
          <t>Purchase Order</t>
        </is>
      </c>
      <c r="D496" s="7" t="inlineStr">
        <is>
          <t>SUP008</t>
        </is>
      </c>
      <c r="E496" s="7" t="inlineStr">
        <is>
          <t>GreenLeaf Packaging</t>
        </is>
      </c>
      <c r="F496" s="7" t="inlineStr">
        <is>
          <t>Packaging</t>
        </is>
      </c>
      <c r="G496" s="7" t="inlineStr">
        <is>
          <t>Protective packaging</t>
        </is>
      </c>
      <c r="H496" s="7" t="inlineStr">
        <is>
          <t>Corporate</t>
        </is>
      </c>
      <c r="I496" s="7" t="inlineStr">
        <is>
          <t>South</t>
        </is>
      </c>
      <c r="J496" s="7" t="n">
        <v>58</v>
      </c>
      <c r="K496" s="7" t="n">
        <v>297.31</v>
      </c>
      <c r="L496" s="7" t="n">
        <v>17244.08</v>
      </c>
      <c r="M496" s="7" t="inlineStr">
        <is>
          <t>Paid</t>
        </is>
      </c>
    </row>
    <row r="497">
      <c r="A497" s="7" t="inlineStr">
        <is>
          <t>PO-00118</t>
        </is>
      </c>
      <c r="B497" s="9" t="n">
        <v>45968</v>
      </c>
      <c r="C497" s="7" t="inlineStr">
        <is>
          <t>Goods Receipt</t>
        </is>
      </c>
      <c r="D497" s="7" t="inlineStr">
        <is>
          <t>SUP006</t>
        </is>
      </c>
      <c r="E497" s="7" t="inlineStr">
        <is>
          <t>Metro Logistics Pvt Ltd</t>
        </is>
      </c>
      <c r="F497" s="7" t="inlineStr">
        <is>
          <t>Logistics</t>
        </is>
      </c>
      <c r="G497" s="7" t="inlineStr">
        <is>
          <t>Warehouse handling</t>
        </is>
      </c>
      <c r="H497" s="7" t="inlineStr">
        <is>
          <t>Operations</t>
        </is>
      </c>
      <c r="I497" s="7" t="inlineStr">
        <is>
          <t>North</t>
        </is>
      </c>
      <c r="J497" s="7" t="n">
        <v>33</v>
      </c>
      <c r="K497" s="7" t="n">
        <v>181.31</v>
      </c>
      <c r="L497" s="7" t="n">
        <v>5983.25</v>
      </c>
      <c r="M497" s="7" t="inlineStr">
        <is>
          <t>Overdue</t>
        </is>
      </c>
    </row>
    <row r="498">
      <c r="A498" s="7" t="inlineStr">
        <is>
          <t>PO-00344</t>
        </is>
      </c>
      <c r="B498" s="9" t="n">
        <v>45969</v>
      </c>
      <c r="C498" s="7" t="inlineStr">
        <is>
          <t>Purchase Order</t>
        </is>
      </c>
      <c r="D498" s="7" t="inlineStr">
        <is>
          <t>SUP001</t>
        </is>
      </c>
      <c r="E498" s="7" t="inlineStr">
        <is>
          <t>Apex Office Supplies</t>
        </is>
      </c>
      <c r="F498" s="7" t="inlineStr">
        <is>
          <t>Office Supplies</t>
        </is>
      </c>
      <c r="G498" s="7" t="inlineStr">
        <is>
          <t>Printer paper</t>
        </is>
      </c>
      <c r="H498" s="7" t="inlineStr">
        <is>
          <t>Corporate</t>
        </is>
      </c>
      <c r="I498" s="7" t="inlineStr">
        <is>
          <t>South</t>
        </is>
      </c>
      <c r="J498" s="7" t="n">
        <v>95</v>
      </c>
      <c r="K498" s="7" t="n">
        <v>140.86</v>
      </c>
      <c r="L498" s="7" t="n">
        <v>13381.48</v>
      </c>
      <c r="M498" s="7" t="inlineStr">
        <is>
          <t>Overdue</t>
        </is>
      </c>
    </row>
    <row r="499">
      <c r="A499" s="7" t="inlineStr">
        <is>
          <t>PO-00446</t>
        </is>
      </c>
      <c r="B499" s="9" t="n">
        <v>45970</v>
      </c>
      <c r="C499" s="7" t="inlineStr">
        <is>
          <t>Goods Receipt</t>
        </is>
      </c>
      <c r="D499" s="7" t="inlineStr">
        <is>
          <t>SUP007</t>
        </is>
      </c>
      <c r="E499" s="7" t="inlineStr">
        <is>
          <t>BrightClean Facilities</t>
        </is>
      </c>
      <c r="F499" s="7" t="inlineStr">
        <is>
          <t>Facilities</t>
        </is>
      </c>
      <c r="G499" s="7" t="inlineStr">
        <is>
          <t>Security services</t>
        </is>
      </c>
      <c r="H499" s="7" t="inlineStr">
        <is>
          <t>Operations</t>
        </is>
      </c>
      <c r="I499" s="7" t="inlineStr">
        <is>
          <t>West</t>
        </is>
      </c>
      <c r="J499" s="7" t="n">
        <v>111</v>
      </c>
      <c r="K499" s="7" t="n">
        <v>99.56</v>
      </c>
      <c r="L499" s="7" t="n">
        <v>11051.09</v>
      </c>
      <c r="M499" s="7" t="inlineStr">
        <is>
          <t>Pending</t>
        </is>
      </c>
    </row>
    <row r="500">
      <c r="A500" s="7" t="inlineStr">
        <is>
          <t>PO-00224</t>
        </is>
      </c>
      <c r="B500" s="9" t="n">
        <v>45971</v>
      </c>
      <c r="C500" s="7" t="inlineStr">
        <is>
          <t>Goods Receipt</t>
        </is>
      </c>
      <c r="D500" s="7" t="inlineStr">
        <is>
          <t>SUP008</t>
        </is>
      </c>
      <c r="E500" s="7" t="inlineStr">
        <is>
          <t>GreenLeaf Packaging</t>
        </is>
      </c>
      <c r="F500" s="7" t="inlineStr">
        <is>
          <t>Packaging</t>
        </is>
      </c>
      <c r="G500" s="7" t="inlineStr">
        <is>
          <t>Corrugated boxes</t>
        </is>
      </c>
      <c r="H500" s="7" t="inlineStr">
        <is>
          <t>Manufacturing</t>
        </is>
      </c>
      <c r="I500" s="7" t="inlineStr">
        <is>
          <t>South</t>
        </is>
      </c>
      <c r="J500" s="7" t="n">
        <v>8</v>
      </c>
      <c r="K500" s="7" t="n">
        <v>1659.6</v>
      </c>
      <c r="L500" s="7" t="n">
        <v>13276.77</v>
      </c>
      <c r="M500" s="7" t="inlineStr">
        <is>
          <t>Overdue</t>
        </is>
      </c>
    </row>
    <row r="501">
      <c r="A501" s="7" t="inlineStr">
        <is>
          <t>PO-00219</t>
        </is>
      </c>
      <c r="B501" s="9" t="n">
        <v>45971</v>
      </c>
      <c r="C501" s="7" t="inlineStr">
        <is>
          <t>Invoice</t>
        </is>
      </c>
      <c r="D501" s="7" t="inlineStr">
        <is>
          <t>SUP006</t>
        </is>
      </c>
      <c r="E501" s="7" t="inlineStr">
        <is>
          <t>Metro Logistics Pvt Ltd</t>
        </is>
      </c>
      <c r="F501" s="7" t="inlineStr">
        <is>
          <t>Logistics</t>
        </is>
      </c>
      <c r="G501" s="7" t="inlineStr">
        <is>
          <t>Warehouse handling</t>
        </is>
      </c>
      <c r="H501" s="7" t="inlineStr">
        <is>
          <t>Technology</t>
        </is>
      </c>
      <c r="I501" s="7" t="inlineStr">
        <is>
          <t>West</t>
        </is>
      </c>
      <c r="J501" s="7" t="n">
        <v>95</v>
      </c>
      <c r="K501" s="7" t="n">
        <v>319.1</v>
      </c>
      <c r="L501" s="7" t="n">
        <v>30314.76</v>
      </c>
      <c r="M501" s="7" t="inlineStr">
        <is>
          <t>Overdue</t>
        </is>
      </c>
    </row>
    <row r="502">
      <c r="A502" s="7" t="inlineStr">
        <is>
          <t>PO-00298</t>
        </is>
      </c>
      <c r="B502" s="9" t="n">
        <v>45971</v>
      </c>
      <c r="C502" s="7" t="inlineStr">
        <is>
          <t>Invoice</t>
        </is>
      </c>
      <c r="D502" s="7" t="inlineStr">
        <is>
          <t>SUP001</t>
        </is>
      </c>
      <c r="E502" s="7" t="inlineStr">
        <is>
          <t>Apex Office Supplies</t>
        </is>
      </c>
      <c r="F502" s="7" t="inlineStr">
        <is>
          <t>Office Supplies</t>
        </is>
      </c>
      <c r="G502" s="7" t="inlineStr">
        <is>
          <t>Pens and stationery</t>
        </is>
      </c>
      <c r="H502" s="7" t="inlineStr">
        <is>
          <t>Sales</t>
        </is>
      </c>
      <c r="I502" s="7" t="inlineStr">
        <is>
          <t>North</t>
        </is>
      </c>
      <c r="J502" s="7" t="n">
        <v>83</v>
      </c>
      <c r="K502" s="7" t="n">
        <v>140.4</v>
      </c>
      <c r="L502" s="7" t="n">
        <v>11653.16</v>
      </c>
      <c r="M502" s="7" t="inlineStr">
        <is>
          <t>Paid</t>
        </is>
      </c>
    </row>
    <row r="503">
      <c r="A503" s="7" t="inlineStr">
        <is>
          <t>PO-00281</t>
        </is>
      </c>
      <c r="B503" s="9" t="n">
        <v>45972</v>
      </c>
      <c r="C503" s="7" t="inlineStr">
        <is>
          <t>Goods Receipt</t>
        </is>
      </c>
      <c r="D503" s="7" t="inlineStr">
        <is>
          <t>SUP010</t>
        </is>
      </c>
      <c r="E503" s="7" t="inlineStr">
        <is>
          <t>Urban Energy Solutions</t>
        </is>
      </c>
      <c r="F503" s="7" t="inlineStr">
        <is>
          <t>Utilities</t>
        </is>
      </c>
      <c r="G503" s="7" t="inlineStr">
        <is>
          <t>Water services</t>
        </is>
      </c>
      <c r="H503" s="7" t="inlineStr">
        <is>
          <t>Sales</t>
        </is>
      </c>
      <c r="I503" s="7" t="inlineStr">
        <is>
          <t>West</t>
        </is>
      </c>
      <c r="J503" s="7" t="n">
        <v>4</v>
      </c>
      <c r="K503" s="7" t="n">
        <v>3487.79</v>
      </c>
      <c r="L503" s="7" t="n">
        <v>13951.16</v>
      </c>
      <c r="M503" s="7" t="inlineStr">
        <is>
          <t>Paid</t>
        </is>
      </c>
    </row>
    <row r="504">
      <c r="A504" s="7" t="inlineStr">
        <is>
          <t>PO-00377</t>
        </is>
      </c>
      <c r="B504" s="9" t="n">
        <v>45972</v>
      </c>
      <c r="C504" s="7" t="inlineStr">
        <is>
          <t>Invoice</t>
        </is>
      </c>
      <c r="D504" s="7" t="inlineStr">
        <is>
          <t>SUP004</t>
        </is>
      </c>
      <c r="E504" s="7" t="inlineStr">
        <is>
          <t>North Star IT Svc</t>
        </is>
      </c>
      <c r="F504" s="7" t="inlineStr">
        <is>
          <t>IT Services</t>
        </is>
      </c>
      <c r="G504" s="7" t="inlineStr">
        <is>
          <t>Software support</t>
        </is>
      </c>
      <c r="H504" s="7" t="inlineStr">
        <is>
          <t>Corporate</t>
        </is>
      </c>
      <c r="I504" s="7" t="inlineStr">
        <is>
          <t>South</t>
        </is>
      </c>
      <c r="J504" s="7" t="n">
        <v>23</v>
      </c>
      <c r="K504" s="7" t="n">
        <v>459.2</v>
      </c>
      <c r="L504" s="7" t="n">
        <v>10561.71</v>
      </c>
      <c r="M504" s="7" t="inlineStr">
        <is>
          <t>Overdue</t>
        </is>
      </c>
    </row>
    <row r="505">
      <c r="A505" s="7" t="inlineStr">
        <is>
          <t>PO-00493</t>
        </is>
      </c>
      <c r="B505" s="9" t="n">
        <v>45973</v>
      </c>
      <c r="C505" s="7" t="inlineStr">
        <is>
          <t>Goods Receipt</t>
        </is>
      </c>
      <c r="D505" s="7" t="inlineStr">
        <is>
          <t>SUP011</t>
        </is>
      </c>
      <c r="E505" s="7" t="inlineStr">
        <is>
          <t>Vertex Marketing</t>
        </is>
      </c>
      <c r="F505" s="7" t="inlineStr">
        <is>
          <t>Marketing</t>
        </is>
      </c>
      <c r="G505" s="7" t="inlineStr">
        <is>
          <t>Print advertising</t>
        </is>
      </c>
      <c r="H505" s="7" t="inlineStr">
        <is>
          <t>Technology</t>
        </is>
      </c>
      <c r="I505" s="7" t="inlineStr">
        <is>
          <t>West</t>
        </is>
      </c>
      <c r="J505" s="7" t="n">
        <v>73</v>
      </c>
      <c r="K505" s="7" t="n">
        <v>144.73</v>
      </c>
      <c r="L505" s="7" t="n">
        <v>10564.96</v>
      </c>
      <c r="M505" s="7" t="inlineStr">
        <is>
          <t>Paid</t>
        </is>
      </c>
    </row>
    <row r="506">
      <c r="A506" s="7" t="inlineStr">
        <is>
          <t>PO-00484</t>
        </is>
      </c>
      <c r="B506" s="9" t="n">
        <v>45974</v>
      </c>
      <c r="C506" s="7" t="inlineStr">
        <is>
          <t>Purchase Order</t>
        </is>
      </c>
      <c r="D506" s="7" t="inlineStr">
        <is>
          <t>SUP002</t>
        </is>
      </c>
      <c r="E506" s="7" t="inlineStr">
        <is>
          <t>Apex Office Supply Ltd</t>
        </is>
      </c>
      <c r="F506" s="7" t="inlineStr">
        <is>
          <t>Office Supplies</t>
        </is>
      </c>
      <c r="G506" s="7" t="inlineStr">
        <is>
          <t>Pens and stationery</t>
        </is>
      </c>
      <c r="H506" s="7" t="inlineStr">
        <is>
          <t>Manufacturing</t>
        </is>
      </c>
      <c r="I506" s="7" t="inlineStr">
        <is>
          <t>North</t>
        </is>
      </c>
      <c r="J506" s="7" t="n">
        <v>90</v>
      </c>
      <c r="K506" s="7" t="n">
        <v>117.67</v>
      </c>
      <c r="L506" s="7" t="n">
        <v>10590.67</v>
      </c>
      <c r="M506" s="7" t="inlineStr">
        <is>
          <t>Pending</t>
        </is>
      </c>
    </row>
    <row r="507">
      <c r="A507" s="7" t="inlineStr">
        <is>
          <t>PO-00006</t>
        </is>
      </c>
      <c r="B507" s="9" t="n">
        <v>45974</v>
      </c>
      <c r="C507" s="7" t="inlineStr">
        <is>
          <t>Goods Receipt</t>
        </is>
      </c>
      <c r="D507" s="7" t="inlineStr">
        <is>
          <t>SUP006</t>
        </is>
      </c>
      <c r="E507" s="7" t="inlineStr">
        <is>
          <t>Metro Logistics Pvt Ltd</t>
        </is>
      </c>
      <c r="F507" s="7" t="inlineStr">
        <is>
          <t>Logistics</t>
        </is>
      </c>
      <c r="G507" s="7" t="inlineStr">
        <is>
          <t>Freight services</t>
        </is>
      </c>
      <c r="H507" s="7" t="inlineStr">
        <is>
          <t>Technology</t>
        </is>
      </c>
      <c r="I507" s="7" t="inlineStr">
        <is>
          <t>North</t>
        </is>
      </c>
      <c r="J507" s="7" t="n">
        <v>6</v>
      </c>
      <c r="K507" s="7" t="n">
        <v>3603.36</v>
      </c>
      <c r="L507" s="7" t="n">
        <v>21620.17</v>
      </c>
      <c r="M507" s="7" t="inlineStr">
        <is>
          <t>Paid</t>
        </is>
      </c>
    </row>
    <row r="508">
      <c r="A508" s="7" t="inlineStr">
        <is>
          <t>PO-00290</t>
        </is>
      </c>
      <c r="B508" s="9" t="n">
        <v>45975</v>
      </c>
      <c r="C508" s="7" t="inlineStr">
        <is>
          <t>Invoice</t>
        </is>
      </c>
      <c r="D508" s="7" t="inlineStr">
        <is>
          <t>SUP007</t>
        </is>
      </c>
      <c r="E508" s="7" t="inlineStr">
        <is>
          <t>BrightClean Facilities</t>
        </is>
      </c>
      <c r="F508" s="7" t="inlineStr">
        <is>
          <t>Facilities</t>
        </is>
      </c>
      <c r="G508" s="7" t="inlineStr">
        <is>
          <t>Security services</t>
        </is>
      </c>
      <c r="H508" s="7" t="inlineStr">
        <is>
          <t>Manufacturing</t>
        </is>
      </c>
      <c r="I508" s="7" t="inlineStr">
        <is>
          <t>South</t>
        </is>
      </c>
      <c r="J508" s="7" t="n">
        <v>43</v>
      </c>
      <c r="K508" s="7" t="n">
        <v>139.82</v>
      </c>
      <c r="L508" s="7" t="n">
        <v>6012.21</v>
      </c>
      <c r="M508" s="7" t="inlineStr">
        <is>
          <t>Pending</t>
        </is>
      </c>
    </row>
    <row r="509">
      <c r="A509" s="7" t="inlineStr">
        <is>
          <t>PO-00584</t>
        </is>
      </c>
      <c r="B509" s="9" t="n">
        <v>45977</v>
      </c>
      <c r="C509" s="7" t="inlineStr">
        <is>
          <t>Goods Receipt</t>
        </is>
      </c>
      <c r="D509" s="7" t="inlineStr">
        <is>
          <t>SUP012</t>
        </is>
      </c>
      <c r="E509" s="7" t="inlineStr">
        <is>
          <t>Pioneer Hardware</t>
        </is>
      </c>
      <c r="F509" s="7" t="inlineStr">
        <is>
          <t>Maintenance</t>
        </is>
      </c>
      <c r="G509" s="7" t="inlineStr">
        <is>
          <t>Tools and supplies</t>
        </is>
      </c>
      <c r="H509" s="7" t="inlineStr">
        <is>
          <t>Corporate</t>
        </is>
      </c>
      <c r="I509" s="7" t="inlineStr">
        <is>
          <t>North</t>
        </is>
      </c>
      <c r="J509" s="7" t="n">
        <v>29</v>
      </c>
      <c r="K509" s="7" t="n">
        <v>34.4</v>
      </c>
      <c r="L509" s="7" t="n">
        <v>997.65</v>
      </c>
      <c r="M509" s="7" t="inlineStr">
        <is>
          <t>Paid</t>
        </is>
      </c>
    </row>
    <row r="510">
      <c r="A510" s="7" t="inlineStr">
        <is>
          <t>PO-00109</t>
        </is>
      </c>
      <c r="B510" s="9" t="n">
        <v>45978</v>
      </c>
      <c r="C510" s="7" t="inlineStr">
        <is>
          <t>Purchase Order</t>
        </is>
      </c>
      <c r="D510" s="7" t="inlineStr">
        <is>
          <t>SUP012</t>
        </is>
      </c>
      <c r="E510" s="7" t="inlineStr">
        <is>
          <t>Pioneer Hardware</t>
        </is>
      </c>
      <c r="F510" s="7" t="inlineStr">
        <is>
          <t>Maintenance</t>
        </is>
      </c>
      <c r="G510" s="7" t="inlineStr">
        <is>
          <t>Tools and supplies</t>
        </is>
      </c>
      <c r="H510" s="7" t="inlineStr">
        <is>
          <t>Corporate</t>
        </is>
      </c>
      <c r="I510" s="7" t="inlineStr">
        <is>
          <t>South</t>
        </is>
      </c>
      <c r="J510" s="7" t="n">
        <v>70</v>
      </c>
      <c r="K510" s="7" t="n">
        <v>126.35</v>
      </c>
      <c r="L510" s="7" t="n">
        <v>8844.5</v>
      </c>
      <c r="M510" s="7" t="inlineStr">
        <is>
          <t>Overdue</t>
        </is>
      </c>
    </row>
    <row r="511">
      <c r="A511" s="7" t="inlineStr">
        <is>
          <t>PO-00289</t>
        </is>
      </c>
      <c r="B511" s="9" t="n">
        <v>45978</v>
      </c>
      <c r="C511" s="7" t="inlineStr">
        <is>
          <t>Purchase Order</t>
        </is>
      </c>
      <c r="D511" s="7" t="inlineStr">
        <is>
          <t>SUP008</t>
        </is>
      </c>
      <c r="E511" s="7" t="inlineStr">
        <is>
          <t>GreenLeaf Packaging</t>
        </is>
      </c>
      <c r="F511" s="7" t="inlineStr">
        <is>
          <t>Packaging</t>
        </is>
      </c>
      <c r="G511" s="7" t="inlineStr">
        <is>
          <t>Protective packaging</t>
        </is>
      </c>
      <c r="H511" s="7" t="inlineStr">
        <is>
          <t>Corporate</t>
        </is>
      </c>
      <c r="I511" s="7" t="inlineStr">
        <is>
          <t>West</t>
        </is>
      </c>
      <c r="J511" s="7" t="n">
        <v>14</v>
      </c>
      <c r="K511" s="7" t="n">
        <v>258.31</v>
      </c>
      <c r="L511" s="7" t="n">
        <v>3616.4</v>
      </c>
      <c r="M511" s="7" t="inlineStr">
        <is>
          <t>Pending</t>
        </is>
      </c>
    </row>
    <row r="512">
      <c r="A512" s="7" t="inlineStr">
        <is>
          <t>PO-00588</t>
        </is>
      </c>
      <c r="B512" s="9" t="n">
        <v>45978</v>
      </c>
      <c r="C512" s="7" t="inlineStr">
        <is>
          <t>Purchase Order</t>
        </is>
      </c>
      <c r="D512" s="7" t="inlineStr">
        <is>
          <t>SUP003</t>
        </is>
      </c>
      <c r="E512" s="7" t="inlineStr">
        <is>
          <t>Northstar IT Services</t>
        </is>
      </c>
      <c r="F512" s="7" t="inlineStr">
        <is>
          <t>IT Services</t>
        </is>
      </c>
      <c r="G512" s="7" t="inlineStr">
        <is>
          <t>IT consulting</t>
        </is>
      </c>
      <c r="H512" s="7" t="inlineStr">
        <is>
          <t>Manufacturing</t>
        </is>
      </c>
      <c r="I512" s="7" t="inlineStr">
        <is>
          <t>East</t>
        </is>
      </c>
      <c r="J512" s="7" t="n">
        <v>96</v>
      </c>
      <c r="K512" s="7" t="n">
        <v>178.85</v>
      </c>
      <c r="L512" s="7" t="n">
        <v>17169.27</v>
      </c>
      <c r="M512" s="7" t="inlineStr">
        <is>
          <t>Overdue</t>
        </is>
      </c>
    </row>
    <row r="513">
      <c r="A513" s="7" t="inlineStr">
        <is>
          <t>PO-00497</t>
        </is>
      </c>
      <c r="B513" s="9" t="n">
        <v>45978</v>
      </c>
      <c r="C513" s="7" t="inlineStr">
        <is>
          <t>Goods Receipt</t>
        </is>
      </c>
      <c r="D513" s="7" t="inlineStr">
        <is>
          <t>SUP002</t>
        </is>
      </c>
      <c r="E513" s="7" t="inlineStr">
        <is>
          <t>Apex Office Supply Ltd</t>
        </is>
      </c>
      <c r="F513" s="7" t="inlineStr">
        <is>
          <t>Office Supplies</t>
        </is>
      </c>
      <c r="G513" s="7" t="inlineStr">
        <is>
          <t>Toner cartridges</t>
        </is>
      </c>
      <c r="H513" s="7" t="inlineStr">
        <is>
          <t>Corporate</t>
        </is>
      </c>
      <c r="I513" s="7" t="inlineStr">
        <is>
          <t>West</t>
        </is>
      </c>
      <c r="J513" s="7" t="n">
        <v>109</v>
      </c>
      <c r="K513" s="7" t="n">
        <v>147.44</v>
      </c>
      <c r="L513" s="7" t="n">
        <v>16070.84</v>
      </c>
      <c r="M513" s="7" t="inlineStr">
        <is>
          <t>Overdue</t>
        </is>
      </c>
    </row>
    <row r="514">
      <c r="A514" s="7" t="inlineStr">
        <is>
          <t>PO-00158</t>
        </is>
      </c>
      <c r="B514" s="9" t="n">
        <v>45979</v>
      </c>
      <c r="C514" s="7" t="inlineStr">
        <is>
          <t>Invoice</t>
        </is>
      </c>
      <c r="D514" s="7" t="inlineStr">
        <is>
          <t>SUP008</t>
        </is>
      </c>
      <c r="E514" s="7" t="inlineStr">
        <is>
          <t>GreenLeaf Packaging</t>
        </is>
      </c>
      <c r="F514" s="7" t="inlineStr">
        <is>
          <t>Packaging</t>
        </is>
      </c>
      <c r="G514" s="7" t="inlineStr">
        <is>
          <t>Labels</t>
        </is>
      </c>
      <c r="H514" s="7" t="inlineStr">
        <is>
          <t>Manufacturing</t>
        </is>
      </c>
      <c r="I514" s="7" t="inlineStr">
        <is>
          <t>East</t>
        </is>
      </c>
      <c r="J514" s="7" t="n">
        <v>75</v>
      </c>
      <c r="K514" s="7" t="n">
        <v>135.99</v>
      </c>
      <c r="L514" s="7" t="n">
        <v>10199.59</v>
      </c>
      <c r="M514" s="7" t="inlineStr">
        <is>
          <t>Overdue</t>
        </is>
      </c>
    </row>
    <row r="515">
      <c r="A515" s="7" t="inlineStr">
        <is>
          <t>PO-00546</t>
        </is>
      </c>
      <c r="B515" s="9" t="n">
        <v>45980</v>
      </c>
      <c r="C515" s="7" t="inlineStr">
        <is>
          <t>Invoice</t>
        </is>
      </c>
      <c r="D515" s="7" t="inlineStr">
        <is>
          <t>SUP009</t>
        </is>
      </c>
      <c r="E515" s="7" t="inlineStr">
        <is>
          <t>Summit Consulting</t>
        </is>
      </c>
      <c r="F515" s="7" t="inlineStr">
        <is>
          <t>Professional Services</t>
        </is>
      </c>
      <c r="G515" s="7" t="inlineStr">
        <is>
          <t>Training services</t>
        </is>
      </c>
      <c r="H515" s="7" t="inlineStr">
        <is>
          <t>Manufacturing</t>
        </is>
      </c>
      <c r="I515" s="7" t="inlineStr">
        <is>
          <t>North</t>
        </is>
      </c>
      <c r="J515" s="7" t="n">
        <v>63</v>
      </c>
      <c r="K515" s="7" t="n">
        <v>155.57</v>
      </c>
      <c r="L515" s="7" t="n">
        <v>9800.85</v>
      </c>
      <c r="M515" s="7" t="inlineStr">
        <is>
          <t>Pending</t>
        </is>
      </c>
    </row>
    <row r="516">
      <c r="A516" s="7" t="inlineStr">
        <is>
          <t>PO-00599</t>
        </is>
      </c>
      <c r="B516" s="9" t="n">
        <v>45981</v>
      </c>
      <c r="C516" s="7" t="inlineStr">
        <is>
          <t>Goods Receipt</t>
        </is>
      </c>
      <c r="D516" s="7" t="inlineStr">
        <is>
          <t>SUP007</t>
        </is>
      </c>
      <c r="E516" s="7" t="inlineStr">
        <is>
          <t>BrightClean Facilities</t>
        </is>
      </c>
      <c r="F516" s="7" t="inlineStr">
        <is>
          <t>Maintenance</t>
        </is>
      </c>
      <c r="G516" s="7" t="inlineStr">
        <is>
          <t>Repair parts</t>
        </is>
      </c>
      <c r="H516" s="7" t="inlineStr">
        <is>
          <t>Technology</t>
        </is>
      </c>
      <c r="I516" s="7" t="inlineStr">
        <is>
          <t>South</t>
        </is>
      </c>
      <c r="J516" s="7" t="n">
        <v>70</v>
      </c>
      <c r="K516" s="7" t="n">
        <v>12.23</v>
      </c>
      <c r="L516" s="7" t="n">
        <v>856.34</v>
      </c>
      <c r="M516" s="7" t="inlineStr">
        <is>
          <t>Paid</t>
        </is>
      </c>
    </row>
    <row r="517">
      <c r="A517" s="7" t="inlineStr">
        <is>
          <t>PO-00551</t>
        </is>
      </c>
      <c r="B517" s="9" t="n">
        <v>45981</v>
      </c>
      <c r="C517" s="7" t="inlineStr">
        <is>
          <t>Invoice</t>
        </is>
      </c>
      <c r="D517" s="7" t="inlineStr">
        <is>
          <t>SUP003</t>
        </is>
      </c>
      <c r="E517" s="7" t="inlineStr">
        <is>
          <t>Northstar IT Services</t>
        </is>
      </c>
      <c r="F517" s="7" t="inlineStr">
        <is>
          <t>IT Services</t>
        </is>
      </c>
      <c r="G517" s="7" t="inlineStr">
        <is>
          <t>Cloud services</t>
        </is>
      </c>
      <c r="H517" s="7" t="inlineStr">
        <is>
          <t>Manufacturing</t>
        </is>
      </c>
      <c r="I517" s="7" t="inlineStr">
        <is>
          <t>West</t>
        </is>
      </c>
      <c r="J517" s="7" t="n">
        <v>119</v>
      </c>
      <c r="K517" s="7" t="n">
        <v>165.34</v>
      </c>
      <c r="L517" s="7" t="n">
        <v>19675.09</v>
      </c>
      <c r="M517" s="7" t="inlineStr">
        <is>
          <t>Paid</t>
        </is>
      </c>
    </row>
    <row r="518">
      <c r="A518" s="7" t="inlineStr">
        <is>
          <t>PO-00591</t>
        </is>
      </c>
      <c r="B518" s="9" t="n">
        <v>45982</v>
      </c>
      <c r="C518" s="7" t="inlineStr">
        <is>
          <t>Goods Receipt</t>
        </is>
      </c>
      <c r="D518" s="7" t="inlineStr">
        <is>
          <t>SUP007</t>
        </is>
      </c>
      <c r="E518" s="7" t="inlineStr">
        <is>
          <t>BrightClean Facilities</t>
        </is>
      </c>
      <c r="F518" s="7" t="inlineStr">
        <is>
          <t>Facilities</t>
        </is>
      </c>
      <c r="G518" s="7" t="inlineStr">
        <is>
          <t>Security services</t>
        </is>
      </c>
      <c r="H518" s="7" t="inlineStr">
        <is>
          <t>Operations</t>
        </is>
      </c>
      <c r="I518" s="7" t="inlineStr">
        <is>
          <t>West</t>
        </is>
      </c>
      <c r="J518" s="7" t="n">
        <v>31</v>
      </c>
      <c r="K518" s="7" t="n">
        <v>190.43</v>
      </c>
      <c r="L518" s="7" t="n">
        <v>5903.3</v>
      </c>
      <c r="M518" s="7" t="inlineStr">
        <is>
          <t>Overdue</t>
        </is>
      </c>
    </row>
    <row r="519">
      <c r="A519" s="7" t="inlineStr">
        <is>
          <t>PO-00456</t>
        </is>
      </c>
      <c r="B519" s="9" t="n">
        <v>45982</v>
      </c>
      <c r="C519" s="7" t="inlineStr">
        <is>
          <t>Purchase Order</t>
        </is>
      </c>
      <c r="D519" s="7" t="inlineStr">
        <is>
          <t>SUP005</t>
        </is>
      </c>
      <c r="E519" s="7" t="inlineStr">
        <is>
          <t>Metro Logistics</t>
        </is>
      </c>
      <c r="F519" s="7" t="inlineStr">
        <is>
          <t>Logistics</t>
        </is>
      </c>
      <c r="G519" s="7" t="inlineStr">
        <is>
          <t>Freight services</t>
        </is>
      </c>
      <c r="H519" s="7" t="inlineStr">
        <is>
          <t>Sales</t>
        </is>
      </c>
      <c r="I519" s="7" t="inlineStr">
        <is>
          <t>South</t>
        </is>
      </c>
      <c r="J519" s="7" t="n">
        <v>14</v>
      </c>
      <c r="K519" s="7" t="n">
        <v>826.34</v>
      </c>
      <c r="L519" s="7" t="n">
        <v>11568.77</v>
      </c>
      <c r="M519" s="7" t="inlineStr">
        <is>
          <t>Overdue</t>
        </is>
      </c>
    </row>
    <row r="520">
      <c r="A520" s="7" t="inlineStr">
        <is>
          <t>PO-00323</t>
        </is>
      </c>
      <c r="B520" s="9" t="n">
        <v>45982</v>
      </c>
      <c r="C520" s="7" t="inlineStr">
        <is>
          <t>Invoice</t>
        </is>
      </c>
      <c r="D520" s="7" t="inlineStr">
        <is>
          <t>SUP002</t>
        </is>
      </c>
      <c r="E520" s="7" t="inlineStr">
        <is>
          <t>Apex Office Supply Ltd</t>
        </is>
      </c>
      <c r="F520" s="7" t="inlineStr">
        <is>
          <t>Office Supplies</t>
        </is>
      </c>
      <c r="G520" s="7" t="inlineStr">
        <is>
          <t>Pens and stationery</t>
        </is>
      </c>
      <c r="H520" s="7" t="inlineStr">
        <is>
          <t>Sales</t>
        </is>
      </c>
      <c r="I520" s="7" t="inlineStr">
        <is>
          <t>East</t>
        </is>
      </c>
      <c r="J520" s="7" t="n">
        <v>89</v>
      </c>
      <c r="K520" s="7" t="n">
        <v>151.98</v>
      </c>
      <c r="L520" s="7" t="n">
        <v>13526.47</v>
      </c>
      <c r="M520" s="7" t="inlineStr">
        <is>
          <t>Overdue</t>
        </is>
      </c>
    </row>
    <row r="521">
      <c r="A521" s="7" t="inlineStr">
        <is>
          <t>PO-00001</t>
        </is>
      </c>
      <c r="B521" s="9" t="n">
        <v>45985</v>
      </c>
      <c r="C521" s="7" t="inlineStr">
        <is>
          <t>Goods Receipt</t>
        </is>
      </c>
      <c r="D521" s="7" t="inlineStr">
        <is>
          <t>SUP002</t>
        </is>
      </c>
      <c r="E521" s="7" t="inlineStr">
        <is>
          <t>Apex Office Supply Ltd</t>
        </is>
      </c>
      <c r="F521" s="7" t="inlineStr">
        <is>
          <t>Packaging</t>
        </is>
      </c>
      <c r="G521" s="7" t="inlineStr">
        <is>
          <t>Corrugated boxes</t>
        </is>
      </c>
      <c r="H521" s="7" t="inlineStr">
        <is>
          <t>Manufacturing</t>
        </is>
      </c>
      <c r="I521" s="7" t="inlineStr">
        <is>
          <t>North</t>
        </is>
      </c>
      <c r="J521" s="7" t="n">
        <v>18</v>
      </c>
      <c r="K521" s="7" t="n">
        <v>249.93</v>
      </c>
      <c r="L521" s="7" t="n">
        <v>4498.67</v>
      </c>
      <c r="M521" s="7" t="inlineStr">
        <is>
          <t>Overdue</t>
        </is>
      </c>
    </row>
    <row r="522">
      <c r="A522" s="7" t="inlineStr">
        <is>
          <t>PO-00207</t>
        </is>
      </c>
      <c r="B522" s="9" t="n">
        <v>45985</v>
      </c>
      <c r="C522" s="7" t="inlineStr">
        <is>
          <t>Goods Receipt</t>
        </is>
      </c>
      <c r="D522" s="7" t="inlineStr">
        <is>
          <t>SUP001</t>
        </is>
      </c>
      <c r="E522" s="7" t="inlineStr">
        <is>
          <t>Apex Office Supplies</t>
        </is>
      </c>
      <c r="F522" s="7" t="inlineStr">
        <is>
          <t>Office Supplies</t>
        </is>
      </c>
      <c r="G522" s="7" t="inlineStr">
        <is>
          <t>Pens and stationery</t>
        </is>
      </c>
      <c r="H522" s="7" t="inlineStr">
        <is>
          <t>Sales</t>
        </is>
      </c>
      <c r="I522" s="7" t="inlineStr">
        <is>
          <t>South</t>
        </is>
      </c>
      <c r="J522" s="7" t="n">
        <v>38</v>
      </c>
      <c r="K522" s="7" t="n">
        <v>298.25</v>
      </c>
      <c r="L522" s="7" t="n">
        <v>11333.69</v>
      </c>
      <c r="M522" s="7" t="inlineStr">
        <is>
          <t>Overdue</t>
        </is>
      </c>
    </row>
    <row r="523">
      <c r="A523" s="7" t="inlineStr">
        <is>
          <t>PO-00154</t>
        </is>
      </c>
      <c r="B523" s="9" t="n">
        <v>45985</v>
      </c>
      <c r="C523" s="7" t="inlineStr">
        <is>
          <t>Purchase Order</t>
        </is>
      </c>
      <c r="D523" s="7" t="inlineStr">
        <is>
          <t>SUP007</t>
        </is>
      </c>
      <c r="E523" s="7" t="inlineStr">
        <is>
          <t>BrightClean Facilities</t>
        </is>
      </c>
      <c r="F523" s="7" t="inlineStr">
        <is>
          <t>Facilities</t>
        </is>
      </c>
      <c r="G523" s="7" t="inlineStr">
        <is>
          <t>Security services</t>
        </is>
      </c>
      <c r="H523" s="7" t="inlineStr">
        <is>
          <t>Sales</t>
        </is>
      </c>
      <c r="I523" s="7" t="inlineStr">
        <is>
          <t>East</t>
        </is>
      </c>
      <c r="J523" s="7" t="n">
        <v>42</v>
      </c>
      <c r="K523" s="7" t="n">
        <v>175.29</v>
      </c>
      <c r="L523" s="7" t="n">
        <v>7361.98</v>
      </c>
      <c r="M523" s="7" t="inlineStr">
        <is>
          <t>Paid</t>
        </is>
      </c>
    </row>
    <row r="524">
      <c r="A524" s="7" t="inlineStr">
        <is>
          <t>PO-00205</t>
        </is>
      </c>
      <c r="B524" s="9" t="n">
        <v>45986</v>
      </c>
      <c r="C524" s="7" t="inlineStr">
        <is>
          <t>Goods Receipt</t>
        </is>
      </c>
      <c r="D524" s="7" t="inlineStr">
        <is>
          <t>SUP003</t>
        </is>
      </c>
      <c r="E524" s="7" t="inlineStr">
        <is>
          <t>Northstar IT Services</t>
        </is>
      </c>
      <c r="F524" s="7" t="inlineStr">
        <is>
          <t>IT Services</t>
        </is>
      </c>
      <c r="G524" s="7" t="inlineStr">
        <is>
          <t>IT consulting</t>
        </is>
      </c>
      <c r="H524" s="7" t="inlineStr">
        <is>
          <t>Manufacturing</t>
        </is>
      </c>
      <c r="I524" s="7" t="inlineStr">
        <is>
          <t>East</t>
        </is>
      </c>
      <c r="J524" s="7" t="n">
        <v>22</v>
      </c>
      <c r="K524" s="7" t="n">
        <v>811.52</v>
      </c>
      <c r="L524" s="7" t="n">
        <v>17853.33</v>
      </c>
      <c r="M524" s="7" t="inlineStr">
        <is>
          <t>Overdue</t>
        </is>
      </c>
    </row>
    <row r="525">
      <c r="A525" s="7" t="inlineStr">
        <is>
          <t>PO-00174</t>
        </is>
      </c>
      <c r="B525" s="9" t="n">
        <v>45986</v>
      </c>
      <c r="C525" s="7" t="inlineStr">
        <is>
          <t>Goods Receipt</t>
        </is>
      </c>
      <c r="D525" s="7" t="inlineStr">
        <is>
          <t>SUP008</t>
        </is>
      </c>
      <c r="E525" s="7" t="inlineStr">
        <is>
          <t>GreenLeaf Packaging</t>
        </is>
      </c>
      <c r="F525" s="7" t="inlineStr">
        <is>
          <t>Packaging</t>
        </is>
      </c>
      <c r="G525" s="7" t="inlineStr">
        <is>
          <t>Labels</t>
        </is>
      </c>
      <c r="H525" s="7" t="inlineStr">
        <is>
          <t>Corporate</t>
        </is>
      </c>
      <c r="I525" s="7" t="inlineStr">
        <is>
          <t>East</t>
        </is>
      </c>
      <c r="J525" s="7" t="n">
        <v>14</v>
      </c>
      <c r="K525" s="7" t="n">
        <v>716.8</v>
      </c>
      <c r="L525" s="7" t="n">
        <v>10035.19</v>
      </c>
      <c r="M525" s="7" t="inlineStr">
        <is>
          <t>Paid</t>
        </is>
      </c>
    </row>
    <row r="526">
      <c r="A526" s="7" t="inlineStr">
        <is>
          <t>PO-00136</t>
        </is>
      </c>
      <c r="B526" s="9" t="n">
        <v>45987</v>
      </c>
      <c r="C526" s="7" t="inlineStr">
        <is>
          <t>Goods Receipt</t>
        </is>
      </c>
      <c r="D526" s="7" t="inlineStr">
        <is>
          <t>SUP001</t>
        </is>
      </c>
      <c r="E526" s="7" t="inlineStr">
        <is>
          <t>Apex Office Supplies</t>
        </is>
      </c>
      <c r="F526" s="7" t="inlineStr">
        <is>
          <t>Marketing</t>
        </is>
      </c>
      <c r="G526" s="7" t="inlineStr">
        <is>
          <t>Digital campaign</t>
        </is>
      </c>
      <c r="H526" s="7" t="inlineStr">
        <is>
          <t>Sales</t>
        </is>
      </c>
      <c r="I526" s="7" t="inlineStr">
        <is>
          <t>West</t>
        </is>
      </c>
      <c r="J526" s="7" t="n">
        <v>55</v>
      </c>
      <c r="K526" s="7" t="n">
        <v>277.63</v>
      </c>
      <c r="L526" s="7" t="n">
        <v>15269.7</v>
      </c>
      <c r="M526" s="7" t="inlineStr">
        <is>
          <t>Paid</t>
        </is>
      </c>
    </row>
    <row r="527">
      <c r="A527" s="7" t="inlineStr">
        <is>
          <t>PO-00276</t>
        </is>
      </c>
      <c r="B527" s="9" t="n">
        <v>45988</v>
      </c>
      <c r="C527" s="7" t="inlineStr">
        <is>
          <t>Goods Receipt</t>
        </is>
      </c>
      <c r="D527" s="7" t="inlineStr">
        <is>
          <t>SUP006</t>
        </is>
      </c>
      <c r="E527" s="7" t="inlineStr">
        <is>
          <t>Metro Logistics Pvt Ltd</t>
        </is>
      </c>
      <c r="F527" s="7" t="inlineStr">
        <is>
          <t>Logistics</t>
        </is>
      </c>
      <c r="G527" s="7" t="inlineStr">
        <is>
          <t>Freight services</t>
        </is>
      </c>
      <c r="H527" s="7" t="inlineStr">
        <is>
          <t>Operations</t>
        </is>
      </c>
      <c r="I527" s="7" t="inlineStr">
        <is>
          <t>South</t>
        </is>
      </c>
      <c r="J527" s="7" t="n">
        <v>13</v>
      </c>
      <c r="K527" s="7" t="n">
        <v>2021.74</v>
      </c>
      <c r="L527" s="7" t="n">
        <v>26282.56</v>
      </c>
      <c r="M527" s="7" t="inlineStr">
        <is>
          <t>Overdue</t>
        </is>
      </c>
    </row>
    <row r="528">
      <c r="A528" s="7" t="inlineStr">
        <is>
          <t>PO-00366</t>
        </is>
      </c>
      <c r="B528" s="9" t="n">
        <v>45988</v>
      </c>
      <c r="C528" s="7" t="inlineStr">
        <is>
          <t>Invoice</t>
        </is>
      </c>
      <c r="D528" s="7" t="inlineStr">
        <is>
          <t>SUP008</t>
        </is>
      </c>
      <c r="E528" s="7" t="inlineStr">
        <is>
          <t>GreenLeaf Packaging</t>
        </is>
      </c>
      <c r="F528" s="7" t="inlineStr">
        <is>
          <t>Packaging</t>
        </is>
      </c>
      <c r="G528" s="7" t="inlineStr">
        <is>
          <t>Corrugated boxes</t>
        </is>
      </c>
      <c r="H528" s="7" t="inlineStr">
        <is>
          <t>Corporate</t>
        </is>
      </c>
      <c r="I528" s="7" t="inlineStr">
        <is>
          <t>West</t>
        </is>
      </c>
      <c r="J528" s="7" t="n">
        <v>109</v>
      </c>
      <c r="K528" s="7" t="n">
        <v>16.19</v>
      </c>
      <c r="L528" s="7" t="n">
        <v>1764.58</v>
      </c>
      <c r="M528" s="7" t="inlineStr">
        <is>
          <t>Paid</t>
        </is>
      </c>
    </row>
    <row r="529">
      <c r="A529" s="7" t="inlineStr">
        <is>
          <t>PO-00576</t>
        </is>
      </c>
      <c r="B529" s="9" t="n">
        <v>45988</v>
      </c>
      <c r="C529" s="7" t="inlineStr">
        <is>
          <t>Invoice</t>
        </is>
      </c>
      <c r="D529" s="7" t="inlineStr">
        <is>
          <t>SUP003</t>
        </is>
      </c>
      <c r="E529" s="7" t="inlineStr">
        <is>
          <t>Northstar IT Services</t>
        </is>
      </c>
      <c r="F529" s="7" t="inlineStr">
        <is>
          <t>IT Services</t>
        </is>
      </c>
      <c r="G529" s="7" t="inlineStr">
        <is>
          <t>Software support</t>
        </is>
      </c>
      <c r="H529" s="7" t="inlineStr">
        <is>
          <t>Technology</t>
        </is>
      </c>
      <c r="I529" s="7" t="inlineStr">
        <is>
          <t>East</t>
        </is>
      </c>
      <c r="J529" s="7" t="n">
        <v>17</v>
      </c>
      <c r="K529" s="7" t="n">
        <v>1427.14</v>
      </c>
      <c r="L529" s="7" t="n">
        <v>24261.41</v>
      </c>
      <c r="M529" s="7" t="inlineStr">
        <is>
          <t>Pending</t>
        </is>
      </c>
    </row>
    <row r="530">
      <c r="A530" s="7" t="inlineStr">
        <is>
          <t>PO-00119</t>
        </is>
      </c>
      <c r="B530" s="9" t="n">
        <v>45988</v>
      </c>
      <c r="C530" s="7" t="inlineStr">
        <is>
          <t>Invoice</t>
        </is>
      </c>
      <c r="D530" s="7" t="inlineStr">
        <is>
          <t>SUP001</t>
        </is>
      </c>
      <c r="E530" s="7" t="inlineStr">
        <is>
          <t>Apex Office Supplies</t>
        </is>
      </c>
      <c r="F530" s="7" t="inlineStr">
        <is>
          <t>Office Supplies</t>
        </is>
      </c>
      <c r="G530" s="7" t="inlineStr">
        <is>
          <t>Toner cartridges</t>
        </is>
      </c>
      <c r="H530" s="7" t="inlineStr">
        <is>
          <t>Operations</t>
        </is>
      </c>
      <c r="I530" s="7" t="inlineStr">
        <is>
          <t>North</t>
        </is>
      </c>
      <c r="J530" s="7" t="n">
        <v>75</v>
      </c>
      <c r="K530" s="7" t="n">
        <v>106.69</v>
      </c>
      <c r="L530" s="7" t="n">
        <v>8001.92</v>
      </c>
      <c r="M530" s="7" t="inlineStr">
        <is>
          <t>Pending</t>
        </is>
      </c>
    </row>
    <row r="531">
      <c r="A531" s="7" t="inlineStr">
        <is>
          <t>PO-00496</t>
        </is>
      </c>
      <c r="B531" s="9" t="n">
        <v>45988</v>
      </c>
      <c r="C531" s="7" t="inlineStr">
        <is>
          <t>Purchase Order</t>
        </is>
      </c>
      <c r="D531" s="7" t="inlineStr">
        <is>
          <t>SUP010</t>
        </is>
      </c>
      <c r="E531" s="7" t="inlineStr">
        <is>
          <t>Urban Energy Solutions</t>
        </is>
      </c>
      <c r="F531" s="7" t="inlineStr">
        <is>
          <t>Utilities</t>
        </is>
      </c>
      <c r="G531" s="7" t="inlineStr">
        <is>
          <t>Natural gas</t>
        </is>
      </c>
      <c r="H531" s="7" t="inlineStr">
        <is>
          <t>Operations</t>
        </is>
      </c>
      <c r="I531" s="7" t="inlineStr">
        <is>
          <t>East</t>
        </is>
      </c>
      <c r="J531" s="7" t="n">
        <v>106</v>
      </c>
      <c r="K531" s="7" t="n">
        <v>48.47</v>
      </c>
      <c r="L531" s="7" t="n">
        <v>5137.41</v>
      </c>
      <c r="M531" s="7" t="inlineStr">
        <is>
          <t>Overdue</t>
        </is>
      </c>
    </row>
    <row r="532">
      <c r="A532" s="7" t="inlineStr">
        <is>
          <t>PO-00157</t>
        </is>
      </c>
      <c r="B532" s="9" t="n">
        <v>45988</v>
      </c>
      <c r="C532" s="7" t="inlineStr">
        <is>
          <t>Purchase Order</t>
        </is>
      </c>
      <c r="D532" s="7" t="inlineStr">
        <is>
          <t>SUP003</t>
        </is>
      </c>
      <c r="E532" s="7" t="inlineStr">
        <is>
          <t>Northstar IT Services</t>
        </is>
      </c>
      <c r="F532" s="7" t="inlineStr">
        <is>
          <t>IT Services</t>
        </is>
      </c>
      <c r="G532" s="7" t="inlineStr">
        <is>
          <t>IT consulting</t>
        </is>
      </c>
      <c r="H532" s="7" t="inlineStr">
        <is>
          <t>Operations</t>
        </is>
      </c>
      <c r="I532" s="7" t="inlineStr">
        <is>
          <t>North</t>
        </is>
      </c>
      <c r="J532" s="7" t="n">
        <v>26</v>
      </c>
      <c r="K532" s="7" t="n">
        <v>179.05</v>
      </c>
      <c r="L532" s="7" t="n">
        <v>4655.32</v>
      </c>
      <c r="M532" s="7" t="inlineStr">
        <is>
          <t>Paid</t>
        </is>
      </c>
    </row>
    <row r="533">
      <c r="A533" s="7" t="inlineStr">
        <is>
          <t>PO-00489</t>
        </is>
      </c>
      <c r="B533" s="9" t="n">
        <v>45988</v>
      </c>
      <c r="C533" s="7" t="inlineStr">
        <is>
          <t>Invoice</t>
        </is>
      </c>
      <c r="D533" s="7" t="inlineStr">
        <is>
          <t>SUP009</t>
        </is>
      </c>
      <c r="E533" s="7" t="inlineStr">
        <is>
          <t>Summit Consulting</t>
        </is>
      </c>
      <c r="F533" s="7" t="inlineStr">
        <is>
          <t>Professional Services</t>
        </is>
      </c>
      <c r="G533" s="7" t="inlineStr">
        <is>
          <t>Business consulting</t>
        </is>
      </c>
      <c r="H533" s="7" t="inlineStr">
        <is>
          <t>Corporate</t>
        </is>
      </c>
      <c r="I533" s="7" t="inlineStr">
        <is>
          <t>South</t>
        </is>
      </c>
      <c r="J533" s="7" t="n">
        <v>79</v>
      </c>
      <c r="K533" s="7" t="n">
        <v>73.38</v>
      </c>
      <c r="L533" s="7" t="n">
        <v>5796.64</v>
      </c>
      <c r="M533" s="7" t="inlineStr">
        <is>
          <t>Overdue</t>
        </is>
      </c>
    </row>
    <row r="534">
      <c r="A534" s="7" t="inlineStr">
        <is>
          <t>PO-00416</t>
        </is>
      </c>
      <c r="B534" s="9" t="n">
        <v>45989</v>
      </c>
      <c r="C534" s="7" t="inlineStr">
        <is>
          <t>Invoice</t>
        </is>
      </c>
      <c r="D534" s="7" t="inlineStr">
        <is>
          <t>SUP010</t>
        </is>
      </c>
      <c r="E534" s="7" t="inlineStr">
        <is>
          <t>Urban Energy Solutions</t>
        </is>
      </c>
      <c r="F534" s="7" t="inlineStr">
        <is>
          <t>Utilities</t>
        </is>
      </c>
      <c r="G534" s="7" t="inlineStr">
        <is>
          <t>Electricity</t>
        </is>
      </c>
      <c r="H534" s="7" t="inlineStr">
        <is>
          <t>Technology</t>
        </is>
      </c>
      <c r="I534" s="7" t="inlineStr">
        <is>
          <t>East</t>
        </is>
      </c>
      <c r="J534" s="7" t="n">
        <v>14</v>
      </c>
      <c r="K534" s="7" t="n">
        <v>389.77</v>
      </c>
      <c r="L534" s="7" t="n">
        <v>5456.75</v>
      </c>
      <c r="M534" s="7" t="inlineStr">
        <is>
          <t>Overdue</t>
        </is>
      </c>
    </row>
    <row r="535">
      <c r="A535" s="7" t="inlineStr">
        <is>
          <t>PO-00487</t>
        </is>
      </c>
      <c r="B535" s="9" t="n">
        <v>45989</v>
      </c>
      <c r="C535" s="7" t="inlineStr">
        <is>
          <t>Goods Receipt</t>
        </is>
      </c>
      <c r="D535" s="7" t="inlineStr">
        <is>
          <t>SUP006</t>
        </is>
      </c>
      <c r="E535" s="7" t="inlineStr">
        <is>
          <t>Metro Logistics Pvt Ltd</t>
        </is>
      </c>
      <c r="F535" s="7" t="inlineStr">
        <is>
          <t>Logistics</t>
        </is>
      </c>
      <c r="G535" s="7" t="inlineStr">
        <is>
          <t>Freight services</t>
        </is>
      </c>
      <c r="H535" s="7" t="inlineStr">
        <is>
          <t>Corporate</t>
        </is>
      </c>
      <c r="I535" s="7" t="inlineStr">
        <is>
          <t>North</t>
        </is>
      </c>
      <c r="J535" s="7" t="n">
        <v>112</v>
      </c>
      <c r="K535" s="7" t="n">
        <v>4.85</v>
      </c>
      <c r="L535" s="7" t="n">
        <v>542.92</v>
      </c>
      <c r="M535" s="7" t="inlineStr">
        <is>
          <t>Paid</t>
        </is>
      </c>
    </row>
    <row r="536">
      <c r="A536" s="7" t="inlineStr">
        <is>
          <t>PO-00240</t>
        </is>
      </c>
      <c r="B536" s="9" t="n">
        <v>45992</v>
      </c>
      <c r="C536" s="7" t="inlineStr">
        <is>
          <t>Invoice</t>
        </is>
      </c>
      <c r="D536" s="7" t="inlineStr">
        <is>
          <t>SUP006</t>
        </is>
      </c>
      <c r="E536" s="7" t="inlineStr">
        <is>
          <t>Metro Logistics Pvt Ltd</t>
        </is>
      </c>
      <c r="F536" s="7" t="inlineStr">
        <is>
          <t>Logistics</t>
        </is>
      </c>
      <c r="G536" s="7" t="inlineStr">
        <is>
          <t>Courier services</t>
        </is>
      </c>
      <c r="H536" s="7" t="inlineStr">
        <is>
          <t>Operations</t>
        </is>
      </c>
      <c r="I536" s="7" t="inlineStr">
        <is>
          <t>West</t>
        </is>
      </c>
      <c r="J536" s="7" t="n">
        <v>16</v>
      </c>
      <c r="K536" s="7" t="n">
        <v>130.77</v>
      </c>
      <c r="L536" s="7" t="n">
        <v>2092.33</v>
      </c>
      <c r="M536" s="7" t="inlineStr">
        <is>
          <t>Overdue</t>
        </is>
      </c>
    </row>
    <row r="537">
      <c r="A537" s="7" t="inlineStr">
        <is>
          <t>PO-00317</t>
        </is>
      </c>
      <c r="B537" s="9" t="n">
        <v>45992</v>
      </c>
      <c r="C537" s="7" t="inlineStr">
        <is>
          <t>Invoice</t>
        </is>
      </c>
      <c r="D537" s="7" t="inlineStr">
        <is>
          <t>SUP004</t>
        </is>
      </c>
      <c r="E537" s="7" t="inlineStr">
        <is>
          <t>North Star IT Svc</t>
        </is>
      </c>
      <c r="F537" s="7" t="inlineStr">
        <is>
          <t>IT Services</t>
        </is>
      </c>
      <c r="G537" s="7" t="inlineStr">
        <is>
          <t>Cloud services</t>
        </is>
      </c>
      <c r="H537" s="7" t="inlineStr">
        <is>
          <t>Corporate</t>
        </is>
      </c>
      <c r="I537" s="7" t="inlineStr">
        <is>
          <t>West</t>
        </is>
      </c>
      <c r="J537" s="7" t="n">
        <v>58</v>
      </c>
      <c r="K537" s="7" t="n">
        <v>527.23</v>
      </c>
      <c r="L537" s="7" t="n">
        <v>30579.11</v>
      </c>
      <c r="M537" s="7" t="inlineStr">
        <is>
          <t>Paid</t>
        </is>
      </c>
    </row>
    <row r="538">
      <c r="A538" s="7" t="inlineStr">
        <is>
          <t>PO-00214</t>
        </is>
      </c>
      <c r="B538" s="9" t="n">
        <v>45992</v>
      </c>
      <c r="C538" s="7" t="inlineStr">
        <is>
          <t>Purchase Order</t>
        </is>
      </c>
      <c r="D538" s="7" t="inlineStr">
        <is>
          <t>SUP011</t>
        </is>
      </c>
      <c r="E538" s="7" t="inlineStr">
        <is>
          <t>Vertex Marketing</t>
        </is>
      </c>
      <c r="F538" s="7" t="inlineStr">
        <is>
          <t>Marketing</t>
        </is>
      </c>
      <c r="G538" s="7" t="inlineStr">
        <is>
          <t>Print advertising</t>
        </is>
      </c>
      <c r="H538" s="7" t="inlineStr">
        <is>
          <t>Operations</t>
        </is>
      </c>
      <c r="I538" s="7" t="inlineStr">
        <is>
          <t>East</t>
        </is>
      </c>
      <c r="J538" s="7" t="n">
        <v>109</v>
      </c>
      <c r="K538" s="7" t="n">
        <v>89.14</v>
      </c>
      <c r="L538" s="7" t="n">
        <v>9716.030000000001</v>
      </c>
      <c r="M538" s="7" t="inlineStr">
        <is>
          <t>Overdue</t>
        </is>
      </c>
    </row>
    <row r="539">
      <c r="A539" s="7" t="inlineStr">
        <is>
          <t>PO-00519</t>
        </is>
      </c>
      <c r="B539" s="9" t="n">
        <v>45993</v>
      </c>
      <c r="C539" s="7" t="inlineStr">
        <is>
          <t>Purchase Order</t>
        </is>
      </c>
      <c r="D539" s="7" t="inlineStr">
        <is>
          <t>SUP004</t>
        </is>
      </c>
      <c r="E539" s="7" t="inlineStr">
        <is>
          <t>North Star IT Svc</t>
        </is>
      </c>
      <c r="F539" s="7" t="inlineStr">
        <is>
          <t>IT Services</t>
        </is>
      </c>
      <c r="G539" s="7" t="inlineStr">
        <is>
          <t>Software support</t>
        </is>
      </c>
      <c r="H539" s="7" t="inlineStr">
        <is>
          <t>Sales</t>
        </is>
      </c>
      <c r="I539" s="7" t="inlineStr">
        <is>
          <t>East</t>
        </is>
      </c>
      <c r="J539" s="7" t="n">
        <v>47</v>
      </c>
      <c r="K539" s="7" t="n">
        <v>208.64</v>
      </c>
      <c r="L539" s="7" t="n">
        <v>9806.15</v>
      </c>
      <c r="M539" s="7" t="inlineStr">
        <is>
          <t>Pending</t>
        </is>
      </c>
    </row>
    <row r="540">
      <c r="A540" s="7" t="inlineStr">
        <is>
          <t>PO-00492</t>
        </is>
      </c>
      <c r="B540" s="9" t="n">
        <v>45993</v>
      </c>
      <c r="C540" s="7" t="inlineStr">
        <is>
          <t>Purchase Order</t>
        </is>
      </c>
      <c r="D540" s="7" t="inlineStr">
        <is>
          <t>SUP004</t>
        </is>
      </c>
      <c r="E540" s="7" t="inlineStr">
        <is>
          <t>North Star IT Svc</t>
        </is>
      </c>
      <c r="F540" s="7" t="inlineStr">
        <is>
          <t>IT Services</t>
        </is>
      </c>
      <c r="G540" s="7" t="inlineStr">
        <is>
          <t>Cloud services</t>
        </is>
      </c>
      <c r="H540" s="7" t="inlineStr">
        <is>
          <t>Sales</t>
        </is>
      </c>
      <c r="I540" s="7" t="inlineStr">
        <is>
          <t>West</t>
        </is>
      </c>
      <c r="J540" s="7" t="n">
        <v>116</v>
      </c>
      <c r="K540" s="7" t="n">
        <v>164.09</v>
      </c>
      <c r="L540" s="7" t="n">
        <v>19034.8</v>
      </c>
      <c r="M540" s="7" t="inlineStr">
        <is>
          <t>Pending</t>
        </is>
      </c>
    </row>
    <row r="541">
      <c r="A541" s="7" t="inlineStr">
        <is>
          <t>PO-00585</t>
        </is>
      </c>
      <c r="B541" s="9" t="n">
        <v>45993</v>
      </c>
      <c r="C541" s="7" t="inlineStr">
        <is>
          <t>Goods Receipt</t>
        </is>
      </c>
      <c r="D541" s="7" t="inlineStr">
        <is>
          <t>SUP008</t>
        </is>
      </c>
      <c r="E541" s="7" t="inlineStr">
        <is>
          <t>GreenLeaf Packaging</t>
        </is>
      </c>
      <c r="F541" s="7" t="inlineStr">
        <is>
          <t>Packaging</t>
        </is>
      </c>
      <c r="G541" s="7" t="inlineStr">
        <is>
          <t>Corrugated boxes</t>
        </is>
      </c>
      <c r="H541" s="7" t="inlineStr">
        <is>
          <t>Technology</t>
        </is>
      </c>
      <c r="I541" s="7" t="inlineStr">
        <is>
          <t>West</t>
        </is>
      </c>
      <c r="J541" s="7" t="n">
        <v>60</v>
      </c>
      <c r="K541" s="7" t="n">
        <v>249.96</v>
      </c>
      <c r="L541" s="7" t="n">
        <v>14997.55</v>
      </c>
      <c r="M541" s="7" t="inlineStr">
        <is>
          <t>Pending</t>
        </is>
      </c>
    </row>
    <row r="542">
      <c r="A542" s="7" t="inlineStr">
        <is>
          <t>PO-00455</t>
        </is>
      </c>
      <c r="B542" s="9" t="n">
        <v>45994</v>
      </c>
      <c r="C542" s="7" t="inlineStr">
        <is>
          <t>Goods Receipt</t>
        </is>
      </c>
      <c r="D542" s="7" t="inlineStr">
        <is>
          <t>SUP006</t>
        </is>
      </c>
      <c r="E542" s="7" t="inlineStr">
        <is>
          <t>Metro Logistics Pvt Ltd</t>
        </is>
      </c>
      <c r="F542" s="7" t="inlineStr">
        <is>
          <t>Logistics</t>
        </is>
      </c>
      <c r="G542" s="7" t="inlineStr">
        <is>
          <t>Freight services</t>
        </is>
      </c>
      <c r="H542" s="7" t="inlineStr">
        <is>
          <t>Corporate</t>
        </is>
      </c>
      <c r="I542" s="7" t="inlineStr">
        <is>
          <t>East</t>
        </is>
      </c>
      <c r="J542" s="7" t="n">
        <v>98</v>
      </c>
      <c r="K542" s="7" t="n">
        <v>37.45</v>
      </c>
      <c r="L542" s="7" t="n">
        <v>3669.85</v>
      </c>
      <c r="M542" s="7" t="inlineStr">
        <is>
          <t>Pending</t>
        </is>
      </c>
    </row>
    <row r="543">
      <c r="A543" s="7" t="inlineStr">
        <is>
          <t>PO-00461</t>
        </is>
      </c>
      <c r="B543" s="9" t="n">
        <v>45994</v>
      </c>
      <c r="C543" s="7" t="inlineStr">
        <is>
          <t>Invoice</t>
        </is>
      </c>
      <c r="D543" s="7" t="inlineStr">
        <is>
          <t>SUP010</t>
        </is>
      </c>
      <c r="E543" s="7" t="inlineStr">
        <is>
          <t>Urban Energy Solutions</t>
        </is>
      </c>
      <c r="F543" s="7" t="inlineStr">
        <is>
          <t>Utilities</t>
        </is>
      </c>
      <c r="G543" s="7" t="inlineStr">
        <is>
          <t>Water services</t>
        </is>
      </c>
      <c r="H543" s="7" t="inlineStr">
        <is>
          <t>Manufacturing</t>
        </is>
      </c>
      <c r="I543" s="7" t="inlineStr">
        <is>
          <t>South</t>
        </is>
      </c>
      <c r="J543" s="7" t="n">
        <v>113</v>
      </c>
      <c r="K543" s="7" t="n">
        <v>51.99</v>
      </c>
      <c r="L543" s="7" t="n">
        <v>5874.57</v>
      </c>
      <c r="M543" s="7" t="inlineStr">
        <is>
          <t>Pending</t>
        </is>
      </c>
    </row>
    <row r="544">
      <c r="A544" s="7" t="inlineStr">
        <is>
          <t>PO-00145</t>
        </is>
      </c>
      <c r="B544" s="9" t="n">
        <v>45994</v>
      </c>
      <c r="C544" s="7" t="inlineStr">
        <is>
          <t>Invoice</t>
        </is>
      </c>
      <c r="D544" s="7" t="inlineStr">
        <is>
          <t>SUP012</t>
        </is>
      </c>
      <c r="E544" s="7" t="inlineStr">
        <is>
          <t>Pioneer Hardware</t>
        </is>
      </c>
      <c r="F544" s="7" t="inlineStr">
        <is>
          <t>Maintenance</t>
        </is>
      </c>
      <c r="G544" s="7" t="inlineStr">
        <is>
          <t>Equipment servicing</t>
        </is>
      </c>
      <c r="H544" s="7" t="inlineStr">
        <is>
          <t>Technology</t>
        </is>
      </c>
      <c r="I544" s="7" t="inlineStr">
        <is>
          <t>North</t>
        </is>
      </c>
      <c r="J544" s="7" t="n">
        <v>90</v>
      </c>
      <c r="K544" s="7" t="n">
        <v>37.18</v>
      </c>
      <c r="L544" s="7" t="n">
        <v>3345.84</v>
      </c>
      <c r="M544" s="7" t="inlineStr">
        <is>
          <t>Paid</t>
        </is>
      </c>
    </row>
    <row r="545">
      <c r="A545" s="7" t="inlineStr">
        <is>
          <t>PO-00459</t>
        </is>
      </c>
      <c r="B545" s="9" t="n">
        <v>45995</v>
      </c>
      <c r="C545" s="7" t="inlineStr">
        <is>
          <t>Purchase Order</t>
        </is>
      </c>
      <c r="D545" s="7" t="inlineStr">
        <is>
          <t>SUP010</t>
        </is>
      </c>
      <c r="E545" s="7" t="inlineStr">
        <is>
          <t>Urban Energy Solutions</t>
        </is>
      </c>
      <c r="F545" s="7" t="inlineStr">
        <is>
          <t>Utilities</t>
        </is>
      </c>
      <c r="G545" s="7" t="inlineStr">
        <is>
          <t>Natural gas</t>
        </is>
      </c>
      <c r="H545" s="7" t="inlineStr">
        <is>
          <t>Corporate</t>
        </is>
      </c>
      <c r="I545" s="7" t="inlineStr">
        <is>
          <t>West</t>
        </is>
      </c>
      <c r="J545" s="7" t="n">
        <v>64</v>
      </c>
      <c r="K545" s="7" t="n">
        <v>39.49</v>
      </c>
      <c r="L545" s="7" t="n">
        <v>2527.29</v>
      </c>
      <c r="M545" s="7" t="inlineStr">
        <is>
          <t>Overdue</t>
        </is>
      </c>
    </row>
    <row r="546">
      <c r="A546" s="7" t="inlineStr">
        <is>
          <t>PO-00515</t>
        </is>
      </c>
      <c r="B546" s="9" t="n">
        <v>45995</v>
      </c>
      <c r="C546" s="7" t="inlineStr">
        <is>
          <t>Goods Receipt</t>
        </is>
      </c>
      <c r="D546" s="7" t="inlineStr">
        <is>
          <t>SUP003</t>
        </is>
      </c>
      <c r="E546" s="7" t="inlineStr">
        <is>
          <t>Northstar IT Services</t>
        </is>
      </c>
      <c r="F546" s="7" t="inlineStr">
        <is>
          <t>IT Services</t>
        </is>
      </c>
      <c r="G546" s="7" t="inlineStr">
        <is>
          <t>IT consulting</t>
        </is>
      </c>
      <c r="H546" s="7" t="inlineStr">
        <is>
          <t>Sales</t>
        </is>
      </c>
      <c r="I546" s="7" t="inlineStr">
        <is>
          <t>West</t>
        </is>
      </c>
      <c r="J546" s="7" t="n">
        <v>1</v>
      </c>
      <c r="K546" s="7" t="n">
        <v>16596.14</v>
      </c>
      <c r="L546" s="7" t="n">
        <v>16596.14</v>
      </c>
      <c r="M546" s="7" t="inlineStr">
        <is>
          <t>Pending</t>
        </is>
      </c>
    </row>
    <row r="547">
      <c r="A547" s="7" t="inlineStr">
        <is>
          <t>PO-00393</t>
        </is>
      </c>
      <c r="B547" s="9" t="n">
        <v>45996</v>
      </c>
      <c r="C547" s="7" t="inlineStr">
        <is>
          <t>Invoice</t>
        </is>
      </c>
      <c r="D547" s="7" t="inlineStr">
        <is>
          <t>SUP005</t>
        </is>
      </c>
      <c r="E547" s="7" t="inlineStr">
        <is>
          <t>Metro Logistics</t>
        </is>
      </c>
      <c r="F547" s="7" t="inlineStr">
        <is>
          <t>Logistics</t>
        </is>
      </c>
      <c r="G547" s="7" t="inlineStr">
        <is>
          <t>Courier services</t>
        </is>
      </c>
      <c r="H547" s="7" t="inlineStr">
        <is>
          <t>Technology</t>
        </is>
      </c>
      <c r="I547" s="7" t="inlineStr">
        <is>
          <t>South</t>
        </is>
      </c>
      <c r="J547" s="7" t="n">
        <v>24</v>
      </c>
      <c r="K547" s="7" t="n">
        <v>697.64</v>
      </c>
      <c r="L547" s="7" t="n">
        <v>16743.25</v>
      </c>
      <c r="M547" s="7" t="inlineStr">
        <is>
          <t>Pending</t>
        </is>
      </c>
    </row>
    <row r="548">
      <c r="A548" s="7" t="inlineStr">
        <is>
          <t>PO-00087</t>
        </is>
      </c>
      <c r="B548" s="9" t="n">
        <v>45996</v>
      </c>
      <c r="C548" s="7" t="inlineStr">
        <is>
          <t>Purchase Order</t>
        </is>
      </c>
      <c r="D548" s="7" t="inlineStr">
        <is>
          <t>SUP002</t>
        </is>
      </c>
      <c r="E548" s="7" t="inlineStr">
        <is>
          <t>Apex Office Supply Ltd</t>
        </is>
      </c>
      <c r="F548" s="7" t="inlineStr">
        <is>
          <t>Office Supplies</t>
        </is>
      </c>
      <c r="G548" s="7" t="inlineStr">
        <is>
          <t>Printer paper</t>
        </is>
      </c>
      <c r="H548" s="7" t="inlineStr">
        <is>
          <t>Sales</t>
        </is>
      </c>
      <c r="I548" s="7" t="inlineStr">
        <is>
          <t>West</t>
        </is>
      </c>
      <c r="J548" s="7" t="n">
        <v>10</v>
      </c>
      <c r="K548" s="7" t="n">
        <v>322.78</v>
      </c>
      <c r="L548" s="7" t="n">
        <v>3227.79</v>
      </c>
      <c r="M548" s="7" t="inlineStr">
        <is>
          <t>Overdue</t>
        </is>
      </c>
    </row>
    <row r="549">
      <c r="A549" s="7" t="inlineStr">
        <is>
          <t>PO-00358</t>
        </is>
      </c>
      <c r="B549" s="9" t="n">
        <v>45997</v>
      </c>
      <c r="C549" s="7" t="inlineStr">
        <is>
          <t>Invoice</t>
        </is>
      </c>
      <c r="D549" s="7" t="inlineStr">
        <is>
          <t>SUP003</t>
        </is>
      </c>
      <c r="E549" s="7" t="inlineStr">
        <is>
          <t>Northstar IT Services</t>
        </is>
      </c>
      <c r="F549" s="7" t="inlineStr">
        <is>
          <t>IT Services</t>
        </is>
      </c>
      <c r="G549" s="7" t="inlineStr">
        <is>
          <t>IT consulting</t>
        </is>
      </c>
      <c r="H549" s="7" t="inlineStr">
        <is>
          <t>Technology</t>
        </is>
      </c>
      <c r="I549" s="7" t="inlineStr">
        <is>
          <t>East</t>
        </is>
      </c>
      <c r="J549" s="7" t="n">
        <v>41</v>
      </c>
      <c r="K549" s="7" t="n">
        <v>198.47</v>
      </c>
      <c r="L549" s="7" t="n">
        <v>8137.08</v>
      </c>
      <c r="M549" s="7" t="inlineStr">
        <is>
          <t>Pending</t>
        </is>
      </c>
    </row>
    <row r="550">
      <c r="A550" s="7" t="inlineStr">
        <is>
          <t>PO-00106</t>
        </is>
      </c>
      <c r="B550" s="9" t="n">
        <v>45997</v>
      </c>
      <c r="C550" s="7" t="inlineStr">
        <is>
          <t>Purchase Order</t>
        </is>
      </c>
      <c r="D550" s="7" t="inlineStr">
        <is>
          <t>SUP011</t>
        </is>
      </c>
      <c r="E550" s="7" t="inlineStr">
        <is>
          <t>Vertex Marketing</t>
        </is>
      </c>
      <c r="F550" s="7" t="inlineStr">
        <is>
          <t>Marketing</t>
        </is>
      </c>
      <c r="G550" s="7" t="inlineStr">
        <is>
          <t>Promotional materials</t>
        </is>
      </c>
      <c r="H550" s="7" t="inlineStr">
        <is>
          <t>Manufacturing</t>
        </is>
      </c>
      <c r="I550" s="7" t="inlineStr">
        <is>
          <t>East</t>
        </is>
      </c>
      <c r="J550" s="7" t="n">
        <v>5</v>
      </c>
      <c r="K550" s="7" t="n">
        <v>1795.3</v>
      </c>
      <c r="L550" s="7" t="n">
        <v>8976.48</v>
      </c>
      <c r="M550" s="7" t="inlineStr">
        <is>
          <t>Paid</t>
        </is>
      </c>
    </row>
    <row r="551">
      <c r="A551" s="7" t="inlineStr">
        <is>
          <t>PO-00096</t>
        </is>
      </c>
      <c r="B551" s="9" t="n">
        <v>45997</v>
      </c>
      <c r="C551" s="7" t="inlineStr">
        <is>
          <t>Purchase Order</t>
        </is>
      </c>
      <c r="D551" s="7" t="inlineStr">
        <is>
          <t>SUP007</t>
        </is>
      </c>
      <c r="E551" s="7" t="inlineStr">
        <is>
          <t>BrightClean Facilities</t>
        </is>
      </c>
      <c r="F551" s="7" t="inlineStr">
        <is>
          <t>Facilities</t>
        </is>
      </c>
      <c r="G551" s="7" t="inlineStr">
        <is>
          <t>Facility maintenance</t>
        </is>
      </c>
      <c r="H551" s="7" t="inlineStr">
        <is>
          <t>Technology</t>
        </is>
      </c>
      <c r="I551" s="7" t="inlineStr">
        <is>
          <t>East</t>
        </is>
      </c>
      <c r="J551" s="7" t="n">
        <v>59</v>
      </c>
      <c r="K551" s="7" t="n">
        <v>168.74</v>
      </c>
      <c r="L551" s="7" t="n">
        <v>9955.73</v>
      </c>
      <c r="M551" s="7" t="inlineStr">
        <is>
          <t>Paid</t>
        </is>
      </c>
    </row>
    <row r="552">
      <c r="A552" s="7" t="inlineStr">
        <is>
          <t>PO-00449</t>
        </is>
      </c>
      <c r="B552" s="9" t="n">
        <v>45997</v>
      </c>
      <c r="C552" s="7" t="inlineStr">
        <is>
          <t>Goods Receipt</t>
        </is>
      </c>
      <c r="D552" s="7" t="inlineStr">
        <is>
          <t>SUP011</t>
        </is>
      </c>
      <c r="E552" s="7" t="inlineStr">
        <is>
          <t>Vertex Marketing</t>
        </is>
      </c>
      <c r="F552" s="7" t="inlineStr">
        <is>
          <t>Marketing</t>
        </is>
      </c>
      <c r="G552" s="7" t="inlineStr">
        <is>
          <t>Promotional materials</t>
        </is>
      </c>
      <c r="H552" s="7" t="inlineStr">
        <is>
          <t>Corporate</t>
        </is>
      </c>
      <c r="I552" s="7" t="inlineStr">
        <is>
          <t>North</t>
        </is>
      </c>
      <c r="J552" s="7" t="n">
        <v>106</v>
      </c>
      <c r="K552" s="7" t="n">
        <v>26.21</v>
      </c>
      <c r="L552" s="7" t="n">
        <v>2777.94</v>
      </c>
      <c r="M552" s="7" t="inlineStr">
        <is>
          <t>Overdue</t>
        </is>
      </c>
    </row>
    <row r="553">
      <c r="A553" s="7" t="inlineStr">
        <is>
          <t>PO-00052</t>
        </is>
      </c>
      <c r="B553" s="9" t="n">
        <v>45997</v>
      </c>
      <c r="C553" s="7" t="inlineStr">
        <is>
          <t>Purchase Order</t>
        </is>
      </c>
      <c r="D553" s="7" t="inlineStr">
        <is>
          <t>SUP011</t>
        </is>
      </c>
      <c r="E553" s="7" t="inlineStr">
        <is>
          <t>Vertex Marketing</t>
        </is>
      </c>
      <c r="F553" s="7" t="inlineStr">
        <is>
          <t>Marketing</t>
        </is>
      </c>
      <c r="G553" s="7" t="inlineStr">
        <is>
          <t>Promotional materials</t>
        </is>
      </c>
      <c r="H553" s="7" t="inlineStr">
        <is>
          <t>Technology</t>
        </is>
      </c>
      <c r="I553" s="7" t="inlineStr">
        <is>
          <t>South</t>
        </is>
      </c>
      <c r="J553" s="7" t="n">
        <v>97</v>
      </c>
      <c r="K553" s="7" t="n">
        <v>18.45</v>
      </c>
      <c r="L553" s="7" t="n">
        <v>1789.76</v>
      </c>
      <c r="M553" s="7" t="inlineStr">
        <is>
          <t>Paid</t>
        </is>
      </c>
    </row>
    <row r="554">
      <c r="A554" s="7" t="inlineStr">
        <is>
          <t>PO-00243</t>
        </is>
      </c>
      <c r="B554" s="9" t="n">
        <v>45998</v>
      </c>
      <c r="C554" s="7" t="inlineStr">
        <is>
          <t>Purchase Order</t>
        </is>
      </c>
      <c r="D554" s="7" t="inlineStr">
        <is>
          <t>SUP004</t>
        </is>
      </c>
      <c r="E554" s="7" t="inlineStr">
        <is>
          <t>North Star IT Svc</t>
        </is>
      </c>
      <c r="F554" s="7" t="inlineStr">
        <is>
          <t>IT Services</t>
        </is>
      </c>
      <c r="G554" s="7" t="inlineStr">
        <is>
          <t>IT consulting</t>
        </is>
      </c>
      <c r="H554" s="7" t="inlineStr">
        <is>
          <t>Sales</t>
        </is>
      </c>
      <c r="I554" s="7" t="inlineStr">
        <is>
          <t>East</t>
        </is>
      </c>
      <c r="J554" s="7" t="n">
        <v>77</v>
      </c>
      <c r="K554" s="7" t="n">
        <v>271.22</v>
      </c>
      <c r="L554" s="7" t="n">
        <v>20883.67</v>
      </c>
      <c r="M554" s="7" t="inlineStr">
        <is>
          <t>Paid</t>
        </is>
      </c>
    </row>
    <row r="555">
      <c r="A555" s="7" t="inlineStr">
        <is>
          <t>PO-00395</t>
        </is>
      </c>
      <c r="B555" s="9" t="n">
        <v>45999</v>
      </c>
      <c r="C555" s="7" t="inlineStr">
        <is>
          <t>Invoice</t>
        </is>
      </c>
      <c r="D555" s="7" t="inlineStr">
        <is>
          <t>SUP002</t>
        </is>
      </c>
      <c r="E555" s="7" t="inlineStr">
        <is>
          <t>Apex Office Supply Ltd</t>
        </is>
      </c>
      <c r="F555" s="7" t="inlineStr">
        <is>
          <t>Office Supplies</t>
        </is>
      </c>
      <c r="G555" s="7" t="inlineStr">
        <is>
          <t>Toner cartridges</t>
        </is>
      </c>
      <c r="H555" s="7" t="inlineStr">
        <is>
          <t>Operations</t>
        </is>
      </c>
      <c r="I555" s="7" t="inlineStr">
        <is>
          <t>North</t>
        </is>
      </c>
      <c r="J555" s="7" t="n">
        <v>70</v>
      </c>
      <c r="K555" s="7" t="n">
        <v>89.53</v>
      </c>
      <c r="L555" s="7" t="n">
        <v>6266.99</v>
      </c>
      <c r="M555" s="7" t="inlineStr">
        <is>
          <t>Pending</t>
        </is>
      </c>
    </row>
    <row r="556">
      <c r="A556" s="7" t="inlineStr">
        <is>
          <t>PO-00269</t>
        </is>
      </c>
      <c r="B556" s="9" t="n">
        <v>46000</v>
      </c>
      <c r="C556" s="7" t="inlineStr">
        <is>
          <t>Goods Receipt</t>
        </is>
      </c>
      <c r="D556" s="7" t="inlineStr">
        <is>
          <t>SUP001</t>
        </is>
      </c>
      <c r="E556" s="7" t="inlineStr">
        <is>
          <t>Apex Office Supplies</t>
        </is>
      </c>
      <c r="F556" s="7" t="inlineStr">
        <is>
          <t>Office Supplies</t>
        </is>
      </c>
      <c r="G556" s="7" t="inlineStr">
        <is>
          <t>Printer paper</t>
        </is>
      </c>
      <c r="H556" s="7" t="inlineStr">
        <is>
          <t>Corporate</t>
        </is>
      </c>
      <c r="I556" s="7" t="inlineStr">
        <is>
          <t>South</t>
        </is>
      </c>
      <c r="J556" s="7" t="n">
        <v>108</v>
      </c>
      <c r="K556" s="7" t="n">
        <v>69.38</v>
      </c>
      <c r="L556" s="7" t="n">
        <v>7493.57</v>
      </c>
      <c r="M556" s="7" t="inlineStr">
        <is>
          <t>Paid</t>
        </is>
      </c>
    </row>
    <row r="557">
      <c r="A557" s="7" t="inlineStr">
        <is>
          <t>PO-00168</t>
        </is>
      </c>
      <c r="B557" s="9" t="n">
        <v>46001</v>
      </c>
      <c r="C557" s="7" t="inlineStr">
        <is>
          <t>Purchase Order</t>
        </is>
      </c>
      <c r="D557" s="7" t="inlineStr">
        <is>
          <t>SUP007</t>
        </is>
      </c>
      <c r="E557" s="7" t="inlineStr">
        <is>
          <t>BrightClean Facilities</t>
        </is>
      </c>
      <c r="F557" s="7" t="inlineStr">
        <is>
          <t>Facilities</t>
        </is>
      </c>
      <c r="G557" s="7" t="inlineStr">
        <is>
          <t>Cleaning services</t>
        </is>
      </c>
      <c r="H557" s="7" t="inlineStr">
        <is>
          <t>Technology</t>
        </is>
      </c>
      <c r="I557" s="7" t="inlineStr">
        <is>
          <t>West</t>
        </is>
      </c>
      <c r="J557" s="7" t="n">
        <v>40</v>
      </c>
      <c r="K557" s="7" t="n">
        <v>11.15</v>
      </c>
      <c r="L557" s="7" t="n">
        <v>445.96</v>
      </c>
      <c r="M557" s="7" t="inlineStr">
        <is>
          <t>Paid</t>
        </is>
      </c>
    </row>
    <row r="558">
      <c r="A558" s="7" t="inlineStr">
        <is>
          <t>PO-00127</t>
        </is>
      </c>
      <c r="B558" s="9" t="n">
        <v>46001</v>
      </c>
      <c r="C558" s="7" t="inlineStr">
        <is>
          <t>Goods Receipt</t>
        </is>
      </c>
      <c r="D558" s="7" t="inlineStr">
        <is>
          <t>SUP012</t>
        </is>
      </c>
      <c r="E558" s="7" t="inlineStr">
        <is>
          <t>Pioneer Hardware</t>
        </is>
      </c>
      <c r="F558" s="7" t="inlineStr">
        <is>
          <t>Maintenance</t>
        </is>
      </c>
      <c r="G558" s="7" t="inlineStr">
        <is>
          <t>Tools and supplies</t>
        </is>
      </c>
      <c r="H558" s="7" t="inlineStr">
        <is>
          <t>Operations</t>
        </is>
      </c>
      <c r="I558" s="7" t="inlineStr">
        <is>
          <t>West</t>
        </is>
      </c>
      <c r="J558" s="7" t="n">
        <v>76</v>
      </c>
      <c r="K558" s="7" t="n">
        <v>128.67</v>
      </c>
      <c r="L558" s="7" t="n">
        <v>9778.639999999999</v>
      </c>
      <c r="M558" s="7" t="inlineStr">
        <is>
          <t>Overdue</t>
        </is>
      </c>
    </row>
    <row r="559">
      <c r="A559" s="7" t="inlineStr">
        <is>
          <t>PO-00020</t>
        </is>
      </c>
      <c r="B559" s="9" t="n">
        <v>46001</v>
      </c>
      <c r="C559" s="7" t="inlineStr">
        <is>
          <t>Purchase Order</t>
        </is>
      </c>
      <c r="D559" s="7" t="inlineStr">
        <is>
          <t>SUP011</t>
        </is>
      </c>
      <c r="E559" s="7" t="inlineStr">
        <is>
          <t>Vertex Marketing</t>
        </is>
      </c>
      <c r="F559" s="7" t="inlineStr">
        <is>
          <t>Marketing</t>
        </is>
      </c>
      <c r="G559" s="7" t="inlineStr">
        <is>
          <t>Digital campaign</t>
        </is>
      </c>
      <c r="H559" s="7" t="inlineStr">
        <is>
          <t>Operations</t>
        </is>
      </c>
      <c r="I559" s="7" t="inlineStr">
        <is>
          <t>North</t>
        </is>
      </c>
      <c r="J559" s="7" t="n">
        <v>58</v>
      </c>
      <c r="K559" s="7" t="n">
        <v>279.4</v>
      </c>
      <c r="L559" s="7" t="n">
        <v>16205.1</v>
      </c>
      <c r="M559" s="7" t="inlineStr">
        <is>
          <t>Pending</t>
        </is>
      </c>
    </row>
    <row r="560">
      <c r="A560" s="7" t="inlineStr">
        <is>
          <t>PO-00454</t>
        </is>
      </c>
      <c r="B560" s="9" t="n">
        <v>46001</v>
      </c>
      <c r="C560" s="7" t="inlineStr">
        <is>
          <t>Purchase Order</t>
        </is>
      </c>
      <c r="D560" s="7" t="inlineStr">
        <is>
          <t>SUP008</t>
        </is>
      </c>
      <c r="E560" s="7" t="inlineStr">
        <is>
          <t>GreenLeaf Packaging</t>
        </is>
      </c>
      <c r="F560" s="7" t="inlineStr">
        <is>
          <t>Packaging</t>
        </is>
      </c>
      <c r="G560" s="7" t="inlineStr">
        <is>
          <t>Protective packaging</t>
        </is>
      </c>
      <c r="H560" s="7" t="inlineStr">
        <is>
          <t>Technology</t>
        </is>
      </c>
      <c r="I560" s="7" t="inlineStr">
        <is>
          <t>West</t>
        </is>
      </c>
      <c r="J560" s="7" t="n">
        <v>7</v>
      </c>
      <c r="K560" s="7" t="n">
        <v>945.22</v>
      </c>
      <c r="L560" s="7" t="n">
        <v>6616.56</v>
      </c>
      <c r="M560" s="7" t="inlineStr">
        <is>
          <t>Overdue</t>
        </is>
      </c>
    </row>
    <row r="561">
      <c r="A561" s="7" t="inlineStr">
        <is>
          <t>PO-00491</t>
        </is>
      </c>
      <c r="B561" s="9" t="n">
        <v>46001</v>
      </c>
      <c r="C561" s="7" t="inlineStr">
        <is>
          <t>Invoice</t>
        </is>
      </c>
      <c r="D561" s="7" t="inlineStr">
        <is>
          <t>SUP002</t>
        </is>
      </c>
      <c r="E561" s="7" t="inlineStr">
        <is>
          <t>Apex Office Supply Ltd</t>
        </is>
      </c>
      <c r="F561" s="7" t="inlineStr">
        <is>
          <t>Office Supplies</t>
        </is>
      </c>
      <c r="G561" s="7" t="inlineStr">
        <is>
          <t>Pens and stationery</t>
        </is>
      </c>
      <c r="H561" s="7" t="inlineStr">
        <is>
          <t>Technology</t>
        </is>
      </c>
      <c r="I561" s="7" t="inlineStr">
        <is>
          <t>South</t>
        </is>
      </c>
      <c r="J561" s="7" t="n">
        <v>75</v>
      </c>
      <c r="K561" s="7" t="n">
        <v>48.66</v>
      </c>
      <c r="L561" s="7" t="n">
        <v>3649.83</v>
      </c>
      <c r="M561" s="7" t="inlineStr">
        <is>
          <t>Overdue</t>
        </is>
      </c>
    </row>
    <row r="562">
      <c r="A562" s="7" t="inlineStr">
        <is>
          <t>PO-00351</t>
        </is>
      </c>
      <c r="B562" s="9" t="n">
        <v>46002</v>
      </c>
      <c r="C562" s="7" t="inlineStr">
        <is>
          <t>Invoice</t>
        </is>
      </c>
      <c r="D562" s="7" t="inlineStr">
        <is>
          <t>SUP001</t>
        </is>
      </c>
      <c r="E562" s="7" t="inlineStr">
        <is>
          <t>Apex Office Supplies</t>
        </is>
      </c>
      <c r="F562" s="7" t="inlineStr">
        <is>
          <t>Office Supplies</t>
        </is>
      </c>
      <c r="G562" s="7" t="inlineStr">
        <is>
          <t>Printer paper</t>
        </is>
      </c>
      <c r="H562" s="7" t="inlineStr">
        <is>
          <t>Sales</t>
        </is>
      </c>
      <c r="I562" s="7" t="inlineStr">
        <is>
          <t>East</t>
        </is>
      </c>
      <c r="J562" s="7" t="n">
        <v>6</v>
      </c>
      <c r="K562" s="7" t="n">
        <v>2416.93</v>
      </c>
      <c r="L562" s="7" t="n">
        <v>14501.56</v>
      </c>
      <c r="M562" s="7" t="inlineStr">
        <is>
          <t>Pending</t>
        </is>
      </c>
    </row>
    <row r="563">
      <c r="A563" s="7" t="inlineStr">
        <is>
          <t>PO-00322</t>
        </is>
      </c>
      <c r="B563" s="9" t="n">
        <v>46004</v>
      </c>
      <c r="C563" s="7" t="inlineStr">
        <is>
          <t>Goods Receipt</t>
        </is>
      </c>
      <c r="D563" s="7" t="inlineStr">
        <is>
          <t>SUP007</t>
        </is>
      </c>
      <c r="E563" s="7" t="inlineStr">
        <is>
          <t>BrightClean Facilities</t>
        </is>
      </c>
      <c r="F563" s="7" t="inlineStr">
        <is>
          <t>Facilities</t>
        </is>
      </c>
      <c r="G563" s="7" t="inlineStr">
        <is>
          <t>Facility maintenance</t>
        </is>
      </c>
      <c r="H563" s="7" t="inlineStr">
        <is>
          <t>Sales</t>
        </is>
      </c>
      <c r="I563" s="7" t="inlineStr">
        <is>
          <t>West</t>
        </is>
      </c>
      <c r="J563" s="7" t="n">
        <v>35</v>
      </c>
      <c r="K563" s="7" t="n">
        <v>298.41</v>
      </c>
      <c r="L563" s="7" t="n">
        <v>10444.37</v>
      </c>
      <c r="M563" s="7" t="inlineStr">
        <is>
          <t>Paid</t>
        </is>
      </c>
    </row>
    <row r="564">
      <c r="A564" s="7" t="inlineStr">
        <is>
          <t>PO-00192</t>
        </is>
      </c>
      <c r="B564" s="9" t="n">
        <v>46005</v>
      </c>
      <c r="C564" s="7" t="inlineStr">
        <is>
          <t>Goods Receipt</t>
        </is>
      </c>
      <c r="D564" s="7" t="inlineStr">
        <is>
          <t>SUP003</t>
        </is>
      </c>
      <c r="E564" s="7" t="inlineStr">
        <is>
          <t>Northstar IT Services</t>
        </is>
      </c>
      <c r="F564" s="7" t="inlineStr">
        <is>
          <t>IT Services</t>
        </is>
      </c>
      <c r="G564" s="7" t="inlineStr">
        <is>
          <t>Cloud services</t>
        </is>
      </c>
      <c r="H564" s="7" t="inlineStr">
        <is>
          <t>Corporate</t>
        </is>
      </c>
      <c r="I564" s="7" t="inlineStr">
        <is>
          <t>South</t>
        </is>
      </c>
      <c r="J564" s="7" t="n">
        <v>78</v>
      </c>
      <c r="K564" s="7" t="n">
        <v>58.26</v>
      </c>
      <c r="L564" s="7" t="n">
        <v>4543.92</v>
      </c>
      <c r="M564" s="7" t="inlineStr">
        <is>
          <t>Paid</t>
        </is>
      </c>
    </row>
    <row r="565">
      <c r="A565" s="7" t="inlineStr">
        <is>
          <t>PO-00150</t>
        </is>
      </c>
      <c r="B565" s="9" t="n">
        <v>46005</v>
      </c>
      <c r="C565" s="7" t="inlineStr">
        <is>
          <t>Purchase Order</t>
        </is>
      </c>
      <c r="D565" s="7" t="inlineStr">
        <is>
          <t>SUP010</t>
        </is>
      </c>
      <c r="E565" s="7" t="inlineStr">
        <is>
          <t>Urban Energy Solutions</t>
        </is>
      </c>
      <c r="F565" s="7" t="inlineStr">
        <is>
          <t>Utilities</t>
        </is>
      </c>
      <c r="G565" s="7" t="inlineStr">
        <is>
          <t>Water services</t>
        </is>
      </c>
      <c r="H565" s="7" t="inlineStr">
        <is>
          <t>Manufacturing</t>
        </is>
      </c>
      <c r="I565" s="7" t="inlineStr">
        <is>
          <t>North</t>
        </is>
      </c>
      <c r="J565" s="7" t="n">
        <v>6</v>
      </c>
      <c r="K565" s="7" t="n">
        <v>2008.06</v>
      </c>
      <c r="L565" s="7" t="n">
        <v>12048.33</v>
      </c>
      <c r="M565" s="7" t="inlineStr">
        <is>
          <t>Paid</t>
        </is>
      </c>
    </row>
    <row r="566">
      <c r="A566" s="7" t="inlineStr">
        <is>
          <t>PO-00495</t>
        </is>
      </c>
      <c r="B566" s="9" t="n">
        <v>46005</v>
      </c>
      <c r="C566" s="7" t="inlineStr">
        <is>
          <t>Invoice</t>
        </is>
      </c>
      <c r="D566" s="7" t="inlineStr">
        <is>
          <t>SUP012</t>
        </is>
      </c>
      <c r="E566" s="7" t="inlineStr">
        <is>
          <t>Pioneer Hardware</t>
        </is>
      </c>
      <c r="F566" s="7" t="inlineStr">
        <is>
          <t>Maintenance</t>
        </is>
      </c>
      <c r="G566" s="7" t="inlineStr">
        <is>
          <t>Equipment servicing</t>
        </is>
      </c>
      <c r="H566" s="7" t="inlineStr">
        <is>
          <t>Sales</t>
        </is>
      </c>
      <c r="I566" s="7" t="inlineStr">
        <is>
          <t>North</t>
        </is>
      </c>
      <c r="J566" s="7" t="n">
        <v>58</v>
      </c>
      <c r="K566" s="7" t="n">
        <v>150.03</v>
      </c>
      <c r="L566" s="7" t="n">
        <v>8701.58</v>
      </c>
      <c r="M566" s="7" t="inlineStr">
        <is>
          <t>Paid</t>
        </is>
      </c>
    </row>
    <row r="567">
      <c r="A567" s="7" t="inlineStr">
        <is>
          <t>PO-00226</t>
        </is>
      </c>
      <c r="B567" s="9" t="n">
        <v>46006</v>
      </c>
      <c r="C567" s="7" t="inlineStr">
        <is>
          <t>Purchase Order</t>
        </is>
      </c>
      <c r="D567" s="7" t="inlineStr">
        <is>
          <t>SUP011</t>
        </is>
      </c>
      <c r="E567" s="7" t="inlineStr">
        <is>
          <t>Vertex Marketing</t>
        </is>
      </c>
      <c r="F567" s="7" t="inlineStr">
        <is>
          <t>Marketing</t>
        </is>
      </c>
      <c r="G567" s="7" t="inlineStr">
        <is>
          <t>Digital campaign</t>
        </is>
      </c>
      <c r="H567" s="7" t="inlineStr">
        <is>
          <t>Technology</t>
        </is>
      </c>
      <c r="I567" s="7" t="inlineStr">
        <is>
          <t>East</t>
        </is>
      </c>
      <c r="J567" s="7" t="n">
        <v>62</v>
      </c>
      <c r="K567" s="7" t="n">
        <v>78.17</v>
      </c>
      <c r="L567" s="7" t="n">
        <v>4846.8</v>
      </c>
      <c r="M567" s="7" t="inlineStr">
        <is>
          <t>Paid</t>
        </is>
      </c>
    </row>
    <row r="568">
      <c r="A568" s="7" t="inlineStr">
        <is>
          <t>PO-00399</t>
        </is>
      </c>
      <c r="B568" s="9" t="n">
        <v>46007</v>
      </c>
      <c r="C568" s="7" t="inlineStr">
        <is>
          <t>Goods Receipt</t>
        </is>
      </c>
      <c r="D568" s="7" t="inlineStr">
        <is>
          <t>SUP007</t>
        </is>
      </c>
      <c r="E568" s="7" t="inlineStr">
        <is>
          <t>BrightClean Facilities</t>
        </is>
      </c>
      <c r="F568" s="7" t="inlineStr">
        <is>
          <t>Facilities</t>
        </is>
      </c>
      <c r="G568" s="7" t="inlineStr">
        <is>
          <t>Facility maintenance</t>
        </is>
      </c>
      <c r="H568" s="7" t="inlineStr">
        <is>
          <t>Technology</t>
        </is>
      </c>
      <c r="I568" s="7" t="inlineStr">
        <is>
          <t>North</t>
        </is>
      </c>
      <c r="J568" s="7" t="n">
        <v>19</v>
      </c>
      <c r="K568" s="7" t="n">
        <v>780.39</v>
      </c>
      <c r="L568" s="7" t="n">
        <v>14827.44</v>
      </c>
      <c r="M568" s="7" t="inlineStr">
        <is>
          <t>Paid</t>
        </is>
      </c>
    </row>
    <row r="569">
      <c r="A569" s="7" t="inlineStr">
        <is>
          <t>PO-00110</t>
        </is>
      </c>
      <c r="B569" s="9" t="n">
        <v>46008</v>
      </c>
      <c r="C569" s="7" t="inlineStr">
        <is>
          <t>Purchase Order</t>
        </is>
      </c>
      <c r="D569" s="7" t="inlineStr">
        <is>
          <t>SUP005</t>
        </is>
      </c>
      <c r="E569" s="7" t="inlineStr">
        <is>
          <t>Metro Logistics</t>
        </is>
      </c>
      <c r="F569" s="7" t="inlineStr">
        <is>
          <t>Logistics</t>
        </is>
      </c>
      <c r="G569" s="7" t="inlineStr">
        <is>
          <t>Warehouse handling</t>
        </is>
      </c>
      <c r="H569" s="7" t="inlineStr">
        <is>
          <t>Corporate</t>
        </is>
      </c>
      <c r="I569" s="7" t="inlineStr">
        <is>
          <t>West</t>
        </is>
      </c>
      <c r="J569" s="7" t="n">
        <v>56</v>
      </c>
      <c r="K569" s="7" t="n">
        <v>408.98</v>
      </c>
      <c r="L569" s="7" t="n">
        <v>22902.71</v>
      </c>
      <c r="M569" s="7" t="inlineStr">
        <is>
          <t>Paid</t>
        </is>
      </c>
    </row>
    <row r="570">
      <c r="A570" s="7" t="inlineStr">
        <is>
          <t>PO-00365</t>
        </is>
      </c>
      <c r="B570" s="9" t="n">
        <v>46009</v>
      </c>
      <c r="C570" s="7" t="inlineStr">
        <is>
          <t>Invoice</t>
        </is>
      </c>
      <c r="D570" s="7" t="inlineStr">
        <is>
          <t>SUP011</t>
        </is>
      </c>
      <c r="E570" s="7" t="inlineStr">
        <is>
          <t>Vertex Marketing</t>
        </is>
      </c>
      <c r="F570" s="7" t="inlineStr">
        <is>
          <t>Marketing</t>
        </is>
      </c>
      <c r="G570" s="7" t="inlineStr">
        <is>
          <t>Digital campaign</t>
        </is>
      </c>
      <c r="H570" s="7" t="inlineStr">
        <is>
          <t>Corporate</t>
        </is>
      </c>
      <c r="I570" s="7" t="inlineStr">
        <is>
          <t>North</t>
        </is>
      </c>
      <c r="J570" s="7" t="n">
        <v>76</v>
      </c>
      <c r="K570" s="7" t="n">
        <v>21.35</v>
      </c>
      <c r="L570" s="7" t="n">
        <v>1622.62</v>
      </c>
      <c r="M570" s="7" t="inlineStr">
        <is>
          <t>Paid</t>
        </is>
      </c>
    </row>
    <row r="571">
      <c r="A571" s="7" t="inlineStr">
        <is>
          <t>PO-00436</t>
        </is>
      </c>
      <c r="B571" s="9" t="n">
        <v>46009</v>
      </c>
      <c r="C571" s="7" t="inlineStr">
        <is>
          <t>Goods Receipt</t>
        </is>
      </c>
      <c r="D571" s="7" t="inlineStr">
        <is>
          <t>SUP011</t>
        </is>
      </c>
      <c r="E571" s="7" t="inlineStr">
        <is>
          <t>Vertex Marketing</t>
        </is>
      </c>
      <c r="F571" s="7" t="inlineStr">
        <is>
          <t>Utilities</t>
        </is>
      </c>
      <c r="G571" s="7" t="inlineStr">
        <is>
          <t>Water services</t>
        </is>
      </c>
      <c r="H571" s="7" t="inlineStr">
        <is>
          <t>Manufacturing</t>
        </is>
      </c>
      <c r="I571" s="7" t="inlineStr">
        <is>
          <t>South</t>
        </is>
      </c>
      <c r="J571" s="7" t="n">
        <v>85</v>
      </c>
      <c r="K571" s="7" t="n">
        <v>140.59</v>
      </c>
      <c r="L571" s="7" t="n">
        <v>11950.56</v>
      </c>
      <c r="M571" s="7" t="inlineStr">
        <is>
          <t>Pending</t>
        </is>
      </c>
    </row>
    <row r="572">
      <c r="A572" s="7" t="inlineStr">
        <is>
          <t>PO-00485</t>
        </is>
      </c>
      <c r="B572" s="9" t="n">
        <v>46009</v>
      </c>
      <c r="C572" s="7" t="inlineStr">
        <is>
          <t>Invoice</t>
        </is>
      </c>
      <c r="D572" s="7" t="inlineStr">
        <is>
          <t>SUP005</t>
        </is>
      </c>
      <c r="E572" s="7" t="inlineStr">
        <is>
          <t>Metro Logistics</t>
        </is>
      </c>
      <c r="F572" s="7" t="inlineStr">
        <is>
          <t>Logistics</t>
        </is>
      </c>
      <c r="G572" s="7" t="inlineStr">
        <is>
          <t>Courier services</t>
        </is>
      </c>
      <c r="H572" s="7" t="inlineStr">
        <is>
          <t>Sales</t>
        </is>
      </c>
      <c r="I572" s="7" t="inlineStr">
        <is>
          <t>North</t>
        </is>
      </c>
      <c r="J572" s="7" t="n">
        <v>119</v>
      </c>
      <c r="K572" s="7" t="n">
        <v>73.62</v>
      </c>
      <c r="L572" s="7" t="n">
        <v>8761</v>
      </c>
      <c r="M572" s="7" t="inlineStr">
        <is>
          <t>Pending</t>
        </is>
      </c>
    </row>
    <row r="573">
      <c r="A573" s="7" t="inlineStr">
        <is>
          <t>PO-00541</t>
        </is>
      </c>
      <c r="B573" s="9" t="n">
        <v>46010</v>
      </c>
      <c r="C573" s="7" t="inlineStr">
        <is>
          <t>Invoice</t>
        </is>
      </c>
      <c r="D573" s="7" t="inlineStr">
        <is>
          <t>SUP001</t>
        </is>
      </c>
      <c r="E573" s="7" t="inlineStr">
        <is>
          <t>Apex Office Supplies</t>
        </is>
      </c>
      <c r="F573" s="7" t="inlineStr">
        <is>
          <t>Facilities</t>
        </is>
      </c>
      <c r="G573" s="7" t="inlineStr">
        <is>
          <t>Facility maintenance</t>
        </is>
      </c>
      <c r="H573" s="7" t="inlineStr">
        <is>
          <t>Manufacturing</t>
        </is>
      </c>
      <c r="I573" s="7" t="inlineStr">
        <is>
          <t>East</t>
        </is>
      </c>
      <c r="J573" s="7" t="n">
        <v>13</v>
      </c>
      <c r="K573" s="7" t="n">
        <v>531.09</v>
      </c>
      <c r="L573" s="7" t="n">
        <v>6904.17</v>
      </c>
      <c r="M573" s="7" t="inlineStr">
        <is>
          <t>Paid</t>
        </is>
      </c>
    </row>
    <row r="574">
      <c r="A574" s="7" t="inlineStr">
        <is>
          <t>PO-00221</t>
        </is>
      </c>
      <c r="B574" s="9" t="n">
        <v>46010</v>
      </c>
      <c r="C574" s="7" t="inlineStr">
        <is>
          <t>Goods Receipt</t>
        </is>
      </c>
      <c r="D574" s="7" t="inlineStr">
        <is>
          <t>SUP011</t>
        </is>
      </c>
      <c r="E574" s="7" t="inlineStr">
        <is>
          <t>Vertex Marketing</t>
        </is>
      </c>
      <c r="F574" s="7" t="inlineStr">
        <is>
          <t>Marketing</t>
        </is>
      </c>
      <c r="G574" s="7" t="inlineStr">
        <is>
          <t>Promotional materials</t>
        </is>
      </c>
      <c r="H574" s="7" t="inlineStr">
        <is>
          <t>Operations</t>
        </is>
      </c>
      <c r="I574" s="7" t="inlineStr">
        <is>
          <t>North</t>
        </is>
      </c>
      <c r="J574" s="7" t="n">
        <v>84</v>
      </c>
      <c r="K574" s="7" t="n">
        <v>57.95</v>
      </c>
      <c r="L574" s="7" t="n">
        <v>4867.68</v>
      </c>
      <c r="M574" s="7" t="inlineStr">
        <is>
          <t>Overdue</t>
        </is>
      </c>
    </row>
    <row r="575">
      <c r="A575" s="7" t="inlineStr">
        <is>
          <t>PO-00404</t>
        </is>
      </c>
      <c r="B575" s="9" t="n">
        <v>46011</v>
      </c>
      <c r="C575" s="7" t="inlineStr">
        <is>
          <t>Invoice</t>
        </is>
      </c>
      <c r="D575" s="7" t="inlineStr">
        <is>
          <t>SUP004</t>
        </is>
      </c>
      <c r="E575" s="7" t="inlineStr">
        <is>
          <t>North Star IT Svc</t>
        </is>
      </c>
      <c r="F575" s="7" t="inlineStr">
        <is>
          <t>Marketing</t>
        </is>
      </c>
      <c r="G575" s="7" t="inlineStr">
        <is>
          <t>Digital campaign</t>
        </is>
      </c>
      <c r="H575" s="7" t="inlineStr">
        <is>
          <t>Technology</t>
        </is>
      </c>
      <c r="I575" s="7" t="inlineStr">
        <is>
          <t>East</t>
        </is>
      </c>
      <c r="J575" s="7" t="n">
        <v>115</v>
      </c>
      <c r="K575" s="7" t="n">
        <v>144.21</v>
      </c>
      <c r="L575" s="7" t="n">
        <v>16584.53</v>
      </c>
      <c r="M575" s="7" t="inlineStr">
        <is>
          <t>Pending</t>
        </is>
      </c>
    </row>
    <row r="576">
      <c r="A576" s="7" t="inlineStr">
        <is>
          <t>PO-00594</t>
        </is>
      </c>
      <c r="B576" s="9" t="n">
        <v>46011</v>
      </c>
      <c r="C576" s="7" t="inlineStr">
        <is>
          <t>Goods Receipt</t>
        </is>
      </c>
      <c r="D576" s="7" t="inlineStr">
        <is>
          <t>SUP005</t>
        </is>
      </c>
      <c r="E576" s="7" t="inlineStr">
        <is>
          <t>Metro Logistics</t>
        </is>
      </c>
      <c r="F576" s="7" t="inlineStr">
        <is>
          <t>Logistics</t>
        </is>
      </c>
      <c r="G576" s="7" t="inlineStr">
        <is>
          <t>Freight services</t>
        </is>
      </c>
      <c r="H576" s="7" t="inlineStr">
        <is>
          <t>Corporate</t>
        </is>
      </c>
      <c r="I576" s="7" t="inlineStr">
        <is>
          <t>North</t>
        </is>
      </c>
      <c r="J576" s="7" t="n">
        <v>74</v>
      </c>
      <c r="K576" s="7" t="n">
        <v>212.77</v>
      </c>
      <c r="L576" s="7" t="n">
        <v>15744.61</v>
      </c>
      <c r="M576" s="7" t="inlineStr">
        <is>
          <t>Pending</t>
        </is>
      </c>
    </row>
    <row r="577">
      <c r="A577" s="7" t="inlineStr">
        <is>
          <t>PO-00070</t>
        </is>
      </c>
      <c r="B577" s="9" t="n">
        <v>46011</v>
      </c>
      <c r="C577" s="7" t="inlineStr">
        <is>
          <t>Goods Receipt</t>
        </is>
      </c>
      <c r="D577" s="7" t="inlineStr">
        <is>
          <t>SUP011</t>
        </is>
      </c>
      <c r="E577" s="7" t="inlineStr">
        <is>
          <t>Vertex Marketing</t>
        </is>
      </c>
      <c r="F577" s="7" t="inlineStr">
        <is>
          <t>Marketing</t>
        </is>
      </c>
      <c r="G577" s="7" t="inlineStr">
        <is>
          <t>Promotional materials</t>
        </is>
      </c>
      <c r="H577" s="7" t="inlineStr">
        <is>
          <t>Corporate</t>
        </is>
      </c>
      <c r="I577" s="7" t="inlineStr">
        <is>
          <t>North</t>
        </is>
      </c>
      <c r="J577" s="7" t="n">
        <v>39</v>
      </c>
      <c r="K577" s="7" t="n">
        <v>322.71</v>
      </c>
      <c r="L577" s="7" t="n">
        <v>12585.81</v>
      </c>
      <c r="M577" s="7" t="inlineStr">
        <is>
          <t>Pending</t>
        </is>
      </c>
    </row>
    <row r="578">
      <c r="A578" s="7" t="inlineStr">
        <is>
          <t>PO-00597</t>
        </is>
      </c>
      <c r="B578" s="9" t="n">
        <v>46011</v>
      </c>
      <c r="C578" s="7" t="inlineStr">
        <is>
          <t>Goods Receipt</t>
        </is>
      </c>
      <c r="D578" s="7" t="inlineStr">
        <is>
          <t>SUP012</t>
        </is>
      </c>
      <c r="E578" s="7" t="inlineStr">
        <is>
          <t>Pioneer Hardware</t>
        </is>
      </c>
      <c r="F578" s="7" t="inlineStr">
        <is>
          <t>Maintenance</t>
        </is>
      </c>
      <c r="G578" s="7" t="inlineStr">
        <is>
          <t>Equipment servicing</t>
        </is>
      </c>
      <c r="H578" s="7" t="inlineStr">
        <is>
          <t>Corporate</t>
        </is>
      </c>
      <c r="I578" s="7" t="inlineStr">
        <is>
          <t>West</t>
        </is>
      </c>
      <c r="J578" s="7" t="n">
        <v>77</v>
      </c>
      <c r="K578" s="7" t="n">
        <v>212.32</v>
      </c>
      <c r="L578" s="7" t="n">
        <v>16348.88</v>
      </c>
      <c r="M578" s="7" t="inlineStr">
        <is>
          <t>Paid</t>
        </is>
      </c>
    </row>
    <row r="579">
      <c r="A579" s="7" t="inlineStr">
        <is>
          <t>PO-00430</t>
        </is>
      </c>
      <c r="B579" s="9" t="n">
        <v>46013</v>
      </c>
      <c r="C579" s="7" t="inlineStr">
        <is>
          <t>Goods Receipt</t>
        </is>
      </c>
      <c r="D579" s="7" t="inlineStr">
        <is>
          <t>SUP006</t>
        </is>
      </c>
      <c r="E579" s="7" t="inlineStr">
        <is>
          <t>Metro Logistics Pvt Ltd</t>
        </is>
      </c>
      <c r="F579" s="7" t="inlineStr">
        <is>
          <t>Logistics</t>
        </is>
      </c>
      <c r="G579" s="7" t="inlineStr">
        <is>
          <t>Courier services</t>
        </is>
      </c>
      <c r="H579" s="7" t="inlineStr">
        <is>
          <t>Operations</t>
        </is>
      </c>
      <c r="I579" s="7" t="inlineStr">
        <is>
          <t>North</t>
        </is>
      </c>
      <c r="J579" s="7" t="n">
        <v>65</v>
      </c>
      <c r="K579" s="7" t="n">
        <v>51.17</v>
      </c>
      <c r="L579" s="7" t="n">
        <v>3325.92</v>
      </c>
      <c r="M579" s="7" t="inlineStr">
        <is>
          <t>Paid</t>
        </is>
      </c>
    </row>
    <row r="580">
      <c r="A580" s="7" t="inlineStr">
        <is>
          <t>PO-00292</t>
        </is>
      </c>
      <c r="B580" s="9" t="n">
        <v>46013</v>
      </c>
      <c r="C580" s="7" t="inlineStr">
        <is>
          <t>Invoice</t>
        </is>
      </c>
      <c r="D580" s="7" t="inlineStr">
        <is>
          <t>SUP011</t>
        </is>
      </c>
      <c r="E580" s="7" t="inlineStr">
        <is>
          <t>Vertex Marketing</t>
        </is>
      </c>
      <c r="F580" s="7" t="inlineStr">
        <is>
          <t>Marketing</t>
        </is>
      </c>
      <c r="G580" s="7" t="inlineStr">
        <is>
          <t>Print advertising</t>
        </is>
      </c>
      <c r="H580" s="7" t="inlineStr">
        <is>
          <t>Technology</t>
        </is>
      </c>
      <c r="I580" s="7" t="inlineStr">
        <is>
          <t>West</t>
        </is>
      </c>
      <c r="J580" s="7" t="n">
        <v>32</v>
      </c>
      <c r="K580" s="7" t="n">
        <v>325.52</v>
      </c>
      <c r="L580" s="7" t="n">
        <v>10416.72</v>
      </c>
      <c r="M580" s="7" t="inlineStr">
        <is>
          <t>Pending</t>
        </is>
      </c>
    </row>
    <row r="581">
      <c r="A581" s="7" t="inlineStr">
        <is>
          <t>PO-00111</t>
        </is>
      </c>
      <c r="B581" s="9" t="n">
        <v>46013</v>
      </c>
      <c r="C581" s="7" t="inlineStr">
        <is>
          <t>Purchase Order</t>
        </is>
      </c>
      <c r="D581" s="7" t="inlineStr">
        <is>
          <t>SUP005</t>
        </is>
      </c>
      <c r="E581" s="7" t="inlineStr">
        <is>
          <t>Metro Logistics</t>
        </is>
      </c>
      <c r="F581" s="7" t="inlineStr">
        <is>
          <t>Logistics</t>
        </is>
      </c>
      <c r="G581" s="7" t="inlineStr">
        <is>
          <t>Courier services</t>
        </is>
      </c>
      <c r="H581" s="7" t="inlineStr">
        <is>
          <t>Technology</t>
        </is>
      </c>
      <c r="I581" s="7" t="inlineStr">
        <is>
          <t>East</t>
        </is>
      </c>
      <c r="J581" s="7" t="n">
        <v>102</v>
      </c>
      <c r="K581" s="7" t="n">
        <v>15.71</v>
      </c>
      <c r="L581" s="7" t="n">
        <v>1601.94</v>
      </c>
      <c r="M581" s="7" t="inlineStr">
        <is>
          <t>Pending</t>
        </is>
      </c>
    </row>
    <row r="582">
      <c r="A582" s="7" t="inlineStr">
        <is>
          <t>PO-00230</t>
        </is>
      </c>
      <c r="B582" s="9" t="n">
        <v>46014</v>
      </c>
      <c r="C582" s="7" t="inlineStr">
        <is>
          <t>Purchase Order</t>
        </is>
      </c>
      <c r="D582" s="7" t="inlineStr">
        <is>
          <t>SUP005</t>
        </is>
      </c>
      <c r="E582" s="7" t="inlineStr">
        <is>
          <t>Metro Logistics</t>
        </is>
      </c>
      <c r="F582" s="7" t="inlineStr">
        <is>
          <t>Logistics</t>
        </is>
      </c>
      <c r="G582" s="7" t="inlineStr">
        <is>
          <t>Freight services</t>
        </is>
      </c>
      <c r="H582" s="7" t="inlineStr">
        <is>
          <t>Corporate</t>
        </is>
      </c>
      <c r="I582" s="7" t="inlineStr">
        <is>
          <t>South</t>
        </is>
      </c>
      <c r="J582" s="7" t="n">
        <v>76</v>
      </c>
      <c r="K582" s="7" t="n">
        <v>248.92</v>
      </c>
      <c r="L582" s="7" t="n">
        <v>18918.12</v>
      </c>
      <c r="M582" s="7" t="inlineStr">
        <is>
          <t>Overdue</t>
        </is>
      </c>
    </row>
    <row r="583">
      <c r="A583" s="7" t="inlineStr">
        <is>
          <t>PO-00445</t>
        </is>
      </c>
      <c r="B583" s="9" t="n">
        <v>46014</v>
      </c>
      <c r="C583" s="7" t="inlineStr">
        <is>
          <t>Goods Receipt</t>
        </is>
      </c>
      <c r="D583" s="7" t="inlineStr">
        <is>
          <t>SUP012</t>
        </is>
      </c>
      <c r="E583" s="7" t="inlineStr">
        <is>
          <t>Pioneer Hardware</t>
        </is>
      </c>
      <c r="F583" s="7" t="inlineStr">
        <is>
          <t>Logistics</t>
        </is>
      </c>
      <c r="G583" s="7" t="inlineStr">
        <is>
          <t>Courier services</t>
        </is>
      </c>
      <c r="H583" s="7" t="inlineStr">
        <is>
          <t>Manufacturing</t>
        </is>
      </c>
      <c r="I583" s="7" t="inlineStr">
        <is>
          <t>West</t>
        </is>
      </c>
      <c r="J583" s="7" t="n">
        <v>117</v>
      </c>
      <c r="K583" s="7" t="n">
        <v>28.69</v>
      </c>
      <c r="L583" s="7" t="n">
        <v>3356.46</v>
      </c>
      <c r="M583" s="7" t="inlineStr">
        <is>
          <t>Paid</t>
        </is>
      </c>
    </row>
    <row r="584">
      <c r="A584" s="7" t="inlineStr">
        <is>
          <t>PO-00054</t>
        </is>
      </c>
      <c r="B584" s="9" t="n">
        <v>46014</v>
      </c>
      <c r="C584" s="7" t="inlineStr">
        <is>
          <t>Goods Receipt</t>
        </is>
      </c>
      <c r="D584" s="7" t="inlineStr">
        <is>
          <t>SUP007</t>
        </is>
      </c>
      <c r="E584" s="7" t="inlineStr">
        <is>
          <t>BrightClean Facilities</t>
        </is>
      </c>
      <c r="F584" s="7" t="inlineStr">
        <is>
          <t>Facilities</t>
        </is>
      </c>
      <c r="G584" s="7" t="inlineStr">
        <is>
          <t>Cleaning services</t>
        </is>
      </c>
      <c r="H584" s="7" t="inlineStr">
        <is>
          <t>Corporate</t>
        </is>
      </c>
      <c r="I584" s="7" t="inlineStr">
        <is>
          <t>West</t>
        </is>
      </c>
      <c r="J584" s="7" t="n">
        <v>84</v>
      </c>
      <c r="K584" s="7" t="n">
        <v>53.36</v>
      </c>
      <c r="L584" s="7" t="n">
        <v>4482.44</v>
      </c>
      <c r="M584" s="7" t="inlineStr">
        <is>
          <t>Paid</t>
        </is>
      </c>
    </row>
    <row r="585">
      <c r="A585" s="7" t="inlineStr">
        <is>
          <t>PO-00263</t>
        </is>
      </c>
      <c r="B585" s="9" t="n">
        <v>46014</v>
      </c>
      <c r="C585" s="7" t="inlineStr">
        <is>
          <t>Goods Receipt</t>
        </is>
      </c>
      <c r="D585" s="7" t="inlineStr">
        <is>
          <t>SUP010</t>
        </is>
      </c>
      <c r="E585" s="7" t="inlineStr">
        <is>
          <t>Urban Energy Solutions</t>
        </is>
      </c>
      <c r="F585" s="7" t="inlineStr">
        <is>
          <t>Utilities</t>
        </is>
      </c>
      <c r="G585" s="7" t="inlineStr">
        <is>
          <t>Water services</t>
        </is>
      </c>
      <c r="H585" s="7" t="inlineStr">
        <is>
          <t>Technology</t>
        </is>
      </c>
      <c r="I585" s="7" t="inlineStr">
        <is>
          <t>West</t>
        </is>
      </c>
      <c r="J585" s="7" t="n">
        <v>31</v>
      </c>
      <c r="K585" s="7" t="n">
        <v>232.64</v>
      </c>
      <c r="L585" s="7" t="n">
        <v>7211.78</v>
      </c>
      <c r="M585" s="7" t="inlineStr">
        <is>
          <t>Pending</t>
        </is>
      </c>
    </row>
    <row r="586">
      <c r="A586" s="7" t="inlineStr">
        <is>
          <t>PO-00375</t>
        </is>
      </c>
      <c r="B586" s="9" t="n">
        <v>46016</v>
      </c>
      <c r="C586" s="7" t="inlineStr">
        <is>
          <t>Purchase Order</t>
        </is>
      </c>
      <c r="D586" s="7" t="inlineStr">
        <is>
          <t>SUP006</t>
        </is>
      </c>
      <c r="E586" s="7" t="inlineStr">
        <is>
          <t>Metro Logistics Pvt Ltd</t>
        </is>
      </c>
      <c r="F586" s="7" t="inlineStr">
        <is>
          <t>Logistics</t>
        </is>
      </c>
      <c r="G586" s="7" t="inlineStr">
        <is>
          <t>Courier services</t>
        </is>
      </c>
      <c r="H586" s="7" t="inlineStr">
        <is>
          <t>Manufacturing</t>
        </is>
      </c>
      <c r="I586" s="7" t="inlineStr">
        <is>
          <t>East</t>
        </is>
      </c>
      <c r="J586" s="7" t="n">
        <v>73</v>
      </c>
      <c r="K586" s="7" t="n">
        <v>237.47</v>
      </c>
      <c r="L586" s="7" t="n">
        <v>17335.38</v>
      </c>
      <c r="M586" s="7" t="inlineStr">
        <is>
          <t>Paid</t>
        </is>
      </c>
    </row>
    <row r="587">
      <c r="A587" s="7" t="inlineStr">
        <is>
          <t>PO-00223</t>
        </is>
      </c>
      <c r="B587" s="9" t="n">
        <v>46016</v>
      </c>
      <c r="C587" s="7" t="inlineStr">
        <is>
          <t>Purchase Order</t>
        </is>
      </c>
      <c r="D587" s="7" t="inlineStr">
        <is>
          <t>SUP002</t>
        </is>
      </c>
      <c r="E587" s="7" t="inlineStr">
        <is>
          <t>Apex Office Supply Ltd</t>
        </is>
      </c>
      <c r="F587" s="7" t="inlineStr">
        <is>
          <t>Office Supplies</t>
        </is>
      </c>
      <c r="G587" s="7" t="inlineStr">
        <is>
          <t>Pens and stationery</t>
        </is>
      </c>
      <c r="H587" s="7" t="inlineStr">
        <is>
          <t>Operations</t>
        </is>
      </c>
      <c r="I587" s="7" t="inlineStr">
        <is>
          <t>West</t>
        </is>
      </c>
      <c r="J587" s="7" t="n">
        <v>54</v>
      </c>
      <c r="K587" s="7" t="n">
        <v>148.25</v>
      </c>
      <c r="L587" s="7" t="n">
        <v>8005.77</v>
      </c>
      <c r="M587" s="7" t="inlineStr">
        <is>
          <t>Overdue</t>
        </is>
      </c>
    </row>
    <row r="588">
      <c r="A588" s="7" t="inlineStr">
        <is>
          <t>PO-00068</t>
        </is>
      </c>
      <c r="B588" s="9" t="n">
        <v>46016</v>
      </c>
      <c r="C588" s="7" t="inlineStr">
        <is>
          <t>Goods Receipt</t>
        </is>
      </c>
      <c r="D588" s="7" t="inlineStr">
        <is>
          <t>SUP005</t>
        </is>
      </c>
      <c r="E588" s="7" t="inlineStr">
        <is>
          <t>Metro Logistics</t>
        </is>
      </c>
      <c r="F588" s="7" t="inlineStr">
        <is>
          <t>Logistics</t>
        </is>
      </c>
      <c r="G588" s="7" t="inlineStr">
        <is>
          <t>Warehouse handling</t>
        </is>
      </c>
      <c r="H588" s="7" t="inlineStr">
        <is>
          <t>Corporate</t>
        </is>
      </c>
      <c r="I588" s="7" t="inlineStr">
        <is>
          <t>South</t>
        </is>
      </c>
      <c r="J588" s="7" t="n">
        <v>78</v>
      </c>
      <c r="K588" s="7" t="n">
        <v>68</v>
      </c>
      <c r="L588" s="7" t="n">
        <v>5304.12</v>
      </c>
      <c r="M588" s="7" t="inlineStr">
        <is>
          <t>Pending</t>
        </is>
      </c>
    </row>
    <row r="589">
      <c r="A589" s="7" t="inlineStr">
        <is>
          <t>PO-00341</t>
        </is>
      </c>
      <c r="B589" s="9" t="n">
        <v>46017</v>
      </c>
      <c r="C589" s="7" t="inlineStr">
        <is>
          <t>Purchase Order</t>
        </is>
      </c>
      <c r="D589" s="7" t="inlineStr">
        <is>
          <t>SUP007</t>
        </is>
      </c>
      <c r="E589" s="7" t="inlineStr">
        <is>
          <t>BrightClean Facilities</t>
        </is>
      </c>
      <c r="F589" s="7" t="inlineStr">
        <is>
          <t>Facilities</t>
        </is>
      </c>
      <c r="G589" s="7" t="inlineStr">
        <is>
          <t>Facility maintenance</t>
        </is>
      </c>
      <c r="H589" s="7" t="inlineStr">
        <is>
          <t>Corporate</t>
        </is>
      </c>
      <c r="I589" s="7" t="inlineStr">
        <is>
          <t>East</t>
        </is>
      </c>
      <c r="J589" s="7" t="n">
        <v>79</v>
      </c>
      <c r="K589" s="7" t="n">
        <v>122.96</v>
      </c>
      <c r="L589" s="7" t="n">
        <v>9713.780000000001</v>
      </c>
      <c r="M589" s="7" t="inlineStr">
        <is>
          <t>Paid</t>
        </is>
      </c>
    </row>
    <row r="590">
      <c r="A590" s="7" t="inlineStr">
        <is>
          <t>PO-00043</t>
        </is>
      </c>
      <c r="B590" s="9" t="n">
        <v>46017</v>
      </c>
      <c r="C590" s="7" t="inlineStr">
        <is>
          <t>Purchase Order</t>
        </is>
      </c>
      <c r="D590" s="7" t="inlineStr">
        <is>
          <t>SUP002</t>
        </is>
      </c>
      <c r="E590" s="7" t="inlineStr">
        <is>
          <t>Apex Office Supply Ltd</t>
        </is>
      </c>
      <c r="F590" s="7" t="inlineStr">
        <is>
          <t>Office Supplies</t>
        </is>
      </c>
      <c r="G590" s="7" t="inlineStr">
        <is>
          <t>Printer paper</t>
        </is>
      </c>
      <c r="H590" s="7" t="inlineStr">
        <is>
          <t>Sales</t>
        </is>
      </c>
      <c r="I590" s="7" t="inlineStr">
        <is>
          <t>East</t>
        </is>
      </c>
      <c r="J590" s="7" t="n">
        <v>61</v>
      </c>
      <c r="K590" s="7" t="n">
        <v>13.32</v>
      </c>
      <c r="L590" s="7" t="n">
        <v>812.4</v>
      </c>
      <c r="M590" s="7" t="inlineStr">
        <is>
          <t>Pending</t>
        </is>
      </c>
    </row>
    <row r="591">
      <c r="A591" s="7" t="inlineStr">
        <is>
          <t>PO-00481</t>
        </is>
      </c>
      <c r="B591" s="9" t="n">
        <v>46017</v>
      </c>
      <c r="C591" s="7" t="inlineStr">
        <is>
          <t>Goods Receipt</t>
        </is>
      </c>
      <c r="D591" s="7" t="inlineStr">
        <is>
          <t>SUP012</t>
        </is>
      </c>
      <c r="E591" s="7" t="inlineStr">
        <is>
          <t>Pioneer Hardware</t>
        </is>
      </c>
      <c r="F591" s="7" t="inlineStr">
        <is>
          <t>Maintenance</t>
        </is>
      </c>
      <c r="G591" s="7" t="inlineStr">
        <is>
          <t>Tools and supplies</t>
        </is>
      </c>
      <c r="H591" s="7" t="inlineStr">
        <is>
          <t>Operations</t>
        </is>
      </c>
      <c r="I591" s="7" t="inlineStr">
        <is>
          <t>North</t>
        </is>
      </c>
      <c r="J591" s="7" t="n">
        <v>10</v>
      </c>
      <c r="K591" s="7" t="n">
        <v>1168.05</v>
      </c>
      <c r="L591" s="7" t="n">
        <v>11680.51</v>
      </c>
      <c r="M591" s="7" t="inlineStr">
        <is>
          <t>Pending</t>
        </is>
      </c>
    </row>
    <row r="592">
      <c r="A592" s="7" t="inlineStr">
        <is>
          <t>PO-00378</t>
        </is>
      </c>
      <c r="B592" s="9" t="n">
        <v>46018</v>
      </c>
      <c r="C592" s="7" t="inlineStr">
        <is>
          <t>Invoice</t>
        </is>
      </c>
      <c r="D592" s="7" t="inlineStr">
        <is>
          <t>SUP003</t>
        </is>
      </c>
      <c r="E592" s="7" t="inlineStr">
        <is>
          <t>Northstar IT Services</t>
        </is>
      </c>
      <c r="F592" s="7" t="inlineStr">
        <is>
          <t>IT Services</t>
        </is>
      </c>
      <c r="G592" s="7" t="inlineStr">
        <is>
          <t>Software support</t>
        </is>
      </c>
      <c r="H592" s="7" t="inlineStr">
        <is>
          <t>Technology</t>
        </is>
      </c>
      <c r="I592" s="7" t="inlineStr">
        <is>
          <t>West</t>
        </is>
      </c>
      <c r="J592" s="7" t="n">
        <v>111</v>
      </c>
      <c r="K592" s="7" t="n">
        <v>233.64</v>
      </c>
      <c r="L592" s="7" t="n">
        <v>25933.63</v>
      </c>
      <c r="M592" s="7" t="inlineStr">
        <is>
          <t>Overdue</t>
        </is>
      </c>
    </row>
    <row r="593">
      <c r="A593" s="7" t="inlineStr">
        <is>
          <t>PO-00320</t>
        </is>
      </c>
      <c r="B593" s="9" t="n">
        <v>46018</v>
      </c>
      <c r="C593" s="7" t="inlineStr">
        <is>
          <t>Goods Receipt</t>
        </is>
      </c>
      <c r="D593" s="7" t="inlineStr">
        <is>
          <t>SUP005</t>
        </is>
      </c>
      <c r="E593" s="7" t="inlineStr">
        <is>
          <t>Metro Logistics</t>
        </is>
      </c>
      <c r="F593" s="7" t="inlineStr">
        <is>
          <t>Logistics</t>
        </is>
      </c>
      <c r="G593" s="7" t="inlineStr">
        <is>
          <t>Warehouse handling</t>
        </is>
      </c>
      <c r="H593" s="7" t="inlineStr">
        <is>
          <t>Corporate</t>
        </is>
      </c>
      <c r="I593" s="7" t="inlineStr">
        <is>
          <t>South</t>
        </is>
      </c>
      <c r="J593" s="7" t="n">
        <v>110</v>
      </c>
      <c r="K593" s="7" t="n">
        <v>75.73</v>
      </c>
      <c r="L593" s="7" t="n">
        <v>8330.16</v>
      </c>
      <c r="M593" s="7" t="inlineStr">
        <is>
          <t>Pending</t>
        </is>
      </c>
    </row>
    <row r="594">
      <c r="A594" s="7" t="inlineStr">
        <is>
          <t>PO-00586</t>
        </is>
      </c>
      <c r="B594" s="9" t="n">
        <v>46020</v>
      </c>
      <c r="C594" s="7" t="inlineStr">
        <is>
          <t>Goods Receipt</t>
        </is>
      </c>
      <c r="D594" s="7" t="inlineStr">
        <is>
          <t>SUP001</t>
        </is>
      </c>
      <c r="E594" s="7" t="inlineStr">
        <is>
          <t>Apex Office Supplies</t>
        </is>
      </c>
      <c r="F594" s="7" t="inlineStr">
        <is>
          <t>Office Supplies</t>
        </is>
      </c>
      <c r="G594" s="7" t="inlineStr">
        <is>
          <t>Printer paper</t>
        </is>
      </c>
      <c r="H594" s="7" t="inlineStr">
        <is>
          <t>Technology</t>
        </is>
      </c>
      <c r="I594" s="7" t="inlineStr">
        <is>
          <t>North</t>
        </is>
      </c>
      <c r="J594" s="7" t="n">
        <v>6</v>
      </c>
      <c r="K594" s="7" t="n">
        <v>812.13</v>
      </c>
      <c r="L594" s="7" t="n">
        <v>4872.78</v>
      </c>
      <c r="M594" s="7" t="inlineStr">
        <is>
          <t>Paid</t>
        </is>
      </c>
    </row>
    <row r="595">
      <c r="A595" s="7" t="inlineStr">
        <is>
          <t>PO-00380</t>
        </is>
      </c>
      <c r="B595" s="9" t="n">
        <v>46020</v>
      </c>
      <c r="C595" s="7" t="inlineStr">
        <is>
          <t>Invoice</t>
        </is>
      </c>
      <c r="D595" s="7" t="inlineStr">
        <is>
          <t>SUP009</t>
        </is>
      </c>
      <c r="E595" s="7" t="inlineStr">
        <is>
          <t>Summit Consulting</t>
        </is>
      </c>
      <c r="F595" s="7" t="inlineStr">
        <is>
          <t>Professional Services</t>
        </is>
      </c>
      <c r="G595" s="7" t="inlineStr">
        <is>
          <t>Business consulting</t>
        </is>
      </c>
      <c r="H595" s="7" t="inlineStr">
        <is>
          <t>Manufacturing</t>
        </is>
      </c>
      <c r="I595" s="7" t="inlineStr">
        <is>
          <t>South</t>
        </is>
      </c>
      <c r="J595" s="7" t="n">
        <v>101</v>
      </c>
      <c r="K595" s="7" t="n">
        <v>281.56</v>
      </c>
      <c r="L595" s="7" t="n">
        <v>28437.18</v>
      </c>
      <c r="M595" s="7" t="inlineStr">
        <is>
          <t>Pending</t>
        </is>
      </c>
    </row>
    <row r="596">
      <c r="A596" s="7" t="inlineStr">
        <is>
          <t>PO-00167</t>
        </is>
      </c>
      <c r="B596" s="9" t="n">
        <v>46020</v>
      </c>
      <c r="C596" s="7" t="inlineStr">
        <is>
          <t>Invoice</t>
        </is>
      </c>
      <c r="D596" s="7" t="inlineStr">
        <is>
          <t>SUP002</t>
        </is>
      </c>
      <c r="E596" s="7" t="inlineStr">
        <is>
          <t>Apex Office Supply Ltd</t>
        </is>
      </c>
      <c r="F596" s="7" t="inlineStr">
        <is>
          <t>Office Supplies</t>
        </is>
      </c>
      <c r="G596" s="7" t="inlineStr">
        <is>
          <t>Printer paper</t>
        </is>
      </c>
      <c r="H596" s="7" t="inlineStr">
        <is>
          <t>Manufacturing</t>
        </is>
      </c>
      <c r="I596" s="7" t="inlineStr">
        <is>
          <t>North</t>
        </is>
      </c>
      <c r="J596" s="7" t="n">
        <v>102</v>
      </c>
      <c r="K596" s="7" t="n">
        <v>67.20999999999999</v>
      </c>
      <c r="L596" s="7" t="n">
        <v>6855.03</v>
      </c>
      <c r="M596" s="7" t="inlineStr">
        <is>
          <t>Overdue</t>
        </is>
      </c>
    </row>
    <row r="597">
      <c r="A597" s="7" t="inlineStr">
        <is>
          <t>PO-00420</t>
        </is>
      </c>
      <c r="B597" s="9" t="n">
        <v>46020</v>
      </c>
      <c r="C597" s="7" t="inlineStr">
        <is>
          <t>Purchase Order</t>
        </is>
      </c>
      <c r="D597" s="7" t="inlineStr">
        <is>
          <t>SUP010</t>
        </is>
      </c>
      <c r="E597" s="7" t="inlineStr">
        <is>
          <t>Urban Energy Solutions</t>
        </is>
      </c>
      <c r="F597" s="7" t="inlineStr">
        <is>
          <t>Utilities</t>
        </is>
      </c>
      <c r="G597" s="7" t="inlineStr">
        <is>
          <t>Natural gas</t>
        </is>
      </c>
      <c r="H597" s="7" t="inlineStr">
        <is>
          <t>Manufacturing</t>
        </is>
      </c>
      <c r="I597" s="7" t="inlineStr">
        <is>
          <t>West</t>
        </is>
      </c>
      <c r="J597" s="7" t="n">
        <v>92</v>
      </c>
      <c r="K597" s="7" t="n">
        <v>68</v>
      </c>
      <c r="L597" s="7" t="n">
        <v>6255.83</v>
      </c>
      <c r="M597" s="7" t="inlineStr">
        <is>
          <t>Overdue</t>
        </is>
      </c>
    </row>
    <row r="598">
      <c r="A598" s="7" t="inlineStr">
        <is>
          <t>PO-00414</t>
        </is>
      </c>
      <c r="B598" s="9" t="n">
        <v>46021</v>
      </c>
      <c r="C598" s="7" t="inlineStr">
        <is>
          <t>Invoice</t>
        </is>
      </c>
      <c r="D598" s="7" t="inlineStr">
        <is>
          <t>SUP011</t>
        </is>
      </c>
      <c r="E598" s="7" t="inlineStr">
        <is>
          <t>Vertex Marketing</t>
        </is>
      </c>
      <c r="F598" s="7" t="inlineStr">
        <is>
          <t>Marketing</t>
        </is>
      </c>
      <c r="G598" s="7" t="inlineStr">
        <is>
          <t>Print advertising</t>
        </is>
      </c>
      <c r="H598" s="7" t="inlineStr">
        <is>
          <t>Technology</t>
        </is>
      </c>
      <c r="I598" s="7" t="inlineStr">
        <is>
          <t>South</t>
        </is>
      </c>
      <c r="J598" s="7" t="n">
        <v>110</v>
      </c>
      <c r="K598" s="7" t="n">
        <v>146.65</v>
      </c>
      <c r="L598" s="7" t="n">
        <v>16131.24</v>
      </c>
      <c r="M598" s="7" t="inlineStr">
        <is>
          <t>Pending</t>
        </is>
      </c>
    </row>
    <row r="599">
      <c r="A599" s="7" t="inlineStr">
        <is>
          <t>PO-00473</t>
        </is>
      </c>
      <c r="B599" s="9" t="n">
        <v>46021</v>
      </c>
      <c r="C599" s="7" t="inlineStr">
        <is>
          <t>Goods Receipt</t>
        </is>
      </c>
      <c r="D599" s="7" t="inlineStr">
        <is>
          <t>SUP003</t>
        </is>
      </c>
      <c r="E599" s="7" t="inlineStr">
        <is>
          <t>Northstar IT Services</t>
        </is>
      </c>
      <c r="F599" s="7" t="inlineStr">
        <is>
          <t>Professional Services</t>
        </is>
      </c>
      <c r="G599" s="7" t="inlineStr">
        <is>
          <t>Audit support</t>
        </is>
      </c>
      <c r="H599" s="7" t="inlineStr">
        <is>
          <t>Technology</t>
        </is>
      </c>
      <c r="I599" s="7" t="inlineStr">
        <is>
          <t>West</t>
        </is>
      </c>
      <c r="J599" s="7" t="n">
        <v>100</v>
      </c>
      <c r="K599" s="7" t="n">
        <v>183.47</v>
      </c>
      <c r="L599" s="7" t="n">
        <v>18346.77</v>
      </c>
      <c r="M599" s="7" t="inlineStr">
        <is>
          <t>Overdue</t>
        </is>
      </c>
    </row>
    <row r="600">
      <c r="A600" s="7" t="inlineStr">
        <is>
          <t>PO-00356</t>
        </is>
      </c>
      <c r="B600" s="9" t="n">
        <v>46022</v>
      </c>
      <c r="C600" s="7" t="inlineStr">
        <is>
          <t>Goods Receipt</t>
        </is>
      </c>
      <c r="D600" s="7" t="inlineStr">
        <is>
          <t>SUP005</t>
        </is>
      </c>
      <c r="E600" s="7" t="inlineStr">
        <is>
          <t>Metro Logistics</t>
        </is>
      </c>
      <c r="F600" s="7" t="inlineStr">
        <is>
          <t>Logistics</t>
        </is>
      </c>
      <c r="G600" s="7" t="inlineStr">
        <is>
          <t>Courier services</t>
        </is>
      </c>
      <c r="H600" s="7" t="inlineStr">
        <is>
          <t>Technology</t>
        </is>
      </c>
      <c r="I600" s="7" t="inlineStr">
        <is>
          <t>West</t>
        </is>
      </c>
      <c r="J600" s="7" t="n">
        <v>115</v>
      </c>
      <c r="K600" s="7" t="n">
        <v>245.28</v>
      </c>
      <c r="L600" s="7" t="n">
        <v>28207.06</v>
      </c>
      <c r="M600" s="7" t="inlineStr">
        <is>
          <t>Overdue</t>
        </is>
      </c>
    </row>
    <row r="601">
      <c r="A601" s="7" t="inlineStr">
        <is>
          <t>PO-00347</t>
        </is>
      </c>
      <c r="B601" s="9" t="n">
        <v>46022</v>
      </c>
      <c r="C601" s="7" t="inlineStr">
        <is>
          <t>Invoice</t>
        </is>
      </c>
      <c r="D601" s="7" t="inlineStr">
        <is>
          <t>SUP010</t>
        </is>
      </c>
      <c r="E601" s="7" t="inlineStr">
        <is>
          <t>Urban Energy Solutions</t>
        </is>
      </c>
      <c r="F601" s="7" t="inlineStr">
        <is>
          <t>Utilities</t>
        </is>
      </c>
      <c r="G601" s="7" t="inlineStr">
        <is>
          <t>Electricity</t>
        </is>
      </c>
      <c r="H601" s="7" t="inlineStr">
        <is>
          <t>Sales</t>
        </is>
      </c>
      <c r="I601" s="7" t="inlineStr">
        <is>
          <t>South</t>
        </is>
      </c>
      <c r="J601" s="7" t="n">
        <v>66</v>
      </c>
      <c r="K601" s="7" t="n">
        <v>136.23</v>
      </c>
      <c r="L601" s="7" t="n">
        <v>8991.120000000001</v>
      </c>
      <c r="M601" s="7" t="inlineStr">
        <is>
          <t>Pending</t>
        </is>
      </c>
    </row>
  </sheetData>
  <autoFilter ref="A1:M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1" customWidth="1" min="3" max="3"/>
    <col width="16" customWidth="1" min="4" max="4"/>
    <col width="23" customWidth="1" min="5" max="5"/>
    <col width="16" customWidth="1" min="6" max="6"/>
    <col width="20" customWidth="1" min="7" max="7"/>
    <col width="16" customWidth="1" min="8" max="8"/>
  </cols>
  <sheetData>
    <row r="1" ht="28" customHeight="1">
      <c r="A1" s="8" t="inlineStr">
        <is>
          <t>Transaction_ID</t>
        </is>
      </c>
      <c r="B1" s="8" t="inlineStr">
        <is>
          <t>Transaction_Date</t>
        </is>
      </c>
      <c r="C1" s="8" t="inlineStr">
        <is>
          <t>Document_Type</t>
        </is>
      </c>
      <c r="D1" s="8" t="inlineStr">
        <is>
          <t>Supplier_ID</t>
        </is>
      </c>
      <c r="E1" s="8" t="inlineStr">
        <is>
          <t>Supplier_Name</t>
        </is>
      </c>
      <c r="F1" s="8" t="inlineStr">
        <is>
          <t>Category</t>
        </is>
      </c>
      <c r="G1" s="8" t="inlineStr">
        <is>
          <t>Item_Description</t>
        </is>
      </c>
      <c r="H1" s="8" t="inlineStr">
        <is>
          <t>Business_Unit</t>
        </is>
      </c>
      <c r="I1" s="8" t="inlineStr">
        <is>
          <t>Region</t>
        </is>
      </c>
      <c r="J1" s="8" t="inlineStr">
        <is>
          <t>Quantity</t>
        </is>
      </c>
      <c r="K1" s="8" t="inlineStr">
        <is>
          <t>Unit_Price_USD</t>
        </is>
      </c>
      <c r="L1" s="8" t="inlineStr">
        <is>
          <t>Spend_USD</t>
        </is>
      </c>
      <c r="M1" s="8" t="inlineStr">
        <is>
          <t>Payment_Status</t>
        </is>
      </c>
      <c r="N1" s="8" t="inlineStr">
        <is>
          <t>Normalized_Supplier</t>
        </is>
      </c>
      <c r="O1" s="8" t="inlineStr">
        <is>
          <t>Spend_Valid_Flag</t>
        </is>
      </c>
      <c r="P1" s="8" t="inlineStr">
        <is>
          <t>Data_Quality_Flag</t>
        </is>
      </c>
    </row>
    <row r="2">
      <c r="A2" s="7" t="inlineStr">
        <is>
          <t>PO-00181</t>
        </is>
      </c>
      <c r="B2" s="9" t="n">
        <v>45658</v>
      </c>
      <c r="C2" s="7" t="inlineStr">
        <is>
          <t>Goods Receipt</t>
        </is>
      </c>
      <c r="D2" s="7" t="inlineStr">
        <is>
          <t>SUP010</t>
        </is>
      </c>
      <c r="E2" s="7">
        <f>IF(E2="","Unknown Supplier",TRIM(E2))</f>
        <v/>
      </c>
      <c r="F2" s="7">
        <f>IF(F2="","Unclassified",TRIM(F2))</f>
        <v/>
      </c>
      <c r="G2" s="7" t="inlineStr">
        <is>
          <t>Natural gas</t>
        </is>
      </c>
      <c r="H2" s="7" t="inlineStr">
        <is>
          <t>Corporate</t>
        </is>
      </c>
      <c r="I2" s="7" t="inlineStr">
        <is>
          <t>East</t>
        </is>
      </c>
      <c r="J2" s="7" t="n">
        <v>24</v>
      </c>
      <c r="K2" s="7" t="n">
        <v>430.14</v>
      </c>
      <c r="L2" s="7" t="n">
        <v>10323.47</v>
      </c>
      <c r="M2" s="7" t="inlineStr">
        <is>
          <t>Paid</t>
        </is>
      </c>
      <c r="N2" s="7">
        <f>IF(OR(E2="Apex Office Supplies",E2="Apex Office Supply Ltd"),"Apex Office Supplies",IF(OR(E2="Northstar IT Services",E2="North Star IT Svc"),"Northstar IT Services",IF(OR(E2="Metro Logistics",E2="Metro Logistics Pvt Ltd"),"Metro Logistics",E2)))</f>
        <v/>
      </c>
      <c r="O2" s="7">
        <f>IF(AND(ISNUMBER(L2),L2&gt;0),"Valid","Review")</f>
        <v/>
      </c>
      <c r="P2" s="7">
        <f>IF(OR(E2="",F2="",NOT(ISNUMBER(L2))),"Check Missing/Invalid Data","OK")</f>
        <v/>
      </c>
    </row>
    <row r="3">
      <c r="A3" s="7" t="inlineStr">
        <is>
          <t>PO-00580</t>
        </is>
      </c>
      <c r="B3" s="9" t="n">
        <v>45658</v>
      </c>
      <c r="C3" s="7" t="inlineStr">
        <is>
          <t>Purchase Order</t>
        </is>
      </c>
      <c r="D3" s="7" t="inlineStr">
        <is>
          <t>SUP011</t>
        </is>
      </c>
      <c r="E3" s="7">
        <f>IF(E3="","Unknown Supplier",TRIM(E3))</f>
        <v/>
      </c>
      <c r="F3" s="7">
        <f>IF(F3="","Unclassified",TRIM(F3))</f>
        <v/>
      </c>
      <c r="G3" s="7" t="inlineStr">
        <is>
          <t>Promotional materials</t>
        </is>
      </c>
      <c r="H3" s="7" t="inlineStr">
        <is>
          <t>Technology</t>
        </is>
      </c>
      <c r="I3" s="7" t="inlineStr">
        <is>
          <t>South</t>
        </is>
      </c>
      <c r="J3" s="7" t="n">
        <v>114</v>
      </c>
      <c r="K3" s="7" t="n">
        <v>116.12</v>
      </c>
      <c r="L3" s="7" t="n">
        <v>13237.8</v>
      </c>
      <c r="M3" s="7" t="inlineStr">
        <is>
          <t>Pending</t>
        </is>
      </c>
      <c r="N3" s="7">
        <f>IF(OR(E3="Apex Office Supplies",E3="Apex Office Supply Ltd"),"Apex Office Supplies",IF(OR(E3="Northstar IT Services",E3="North Star IT Svc"),"Northstar IT Services",IF(OR(E3="Metro Logistics",E3="Metro Logistics Pvt Ltd"),"Metro Logistics",E3)))</f>
        <v/>
      </c>
      <c r="O3" s="7">
        <f>IF(AND(ISNUMBER(L3),L3&gt;0),"Valid","Review")</f>
        <v/>
      </c>
      <c r="P3" s="7">
        <f>IF(OR(E3="",F3="",NOT(ISNUMBER(L3))),"Check Missing/Invalid Data","OK")</f>
        <v/>
      </c>
    </row>
    <row r="4">
      <c r="A4" s="7" t="inlineStr">
        <is>
          <t>PO-00324</t>
        </is>
      </c>
      <c r="B4" s="9" t="n">
        <v>45659</v>
      </c>
      <c r="C4" s="7" t="inlineStr">
        <is>
          <t>Goods Receipt</t>
        </is>
      </c>
      <c r="D4" s="7" t="inlineStr">
        <is>
          <t>SUP012</t>
        </is>
      </c>
      <c r="E4" s="7">
        <f>IF(E4="","Unknown Supplier",TRIM(E4))</f>
        <v/>
      </c>
      <c r="F4" s="7">
        <f>IF(F4="","Unclassified",TRIM(F4))</f>
        <v/>
      </c>
      <c r="G4" s="7" t="inlineStr">
        <is>
          <t>Tools and supplies</t>
        </is>
      </c>
      <c r="H4" s="7" t="inlineStr">
        <is>
          <t>Technology</t>
        </is>
      </c>
      <c r="I4" s="7" t="inlineStr">
        <is>
          <t>North</t>
        </is>
      </c>
      <c r="J4" s="7" t="n">
        <v>82</v>
      </c>
      <c r="K4" s="7" t="n">
        <v>213.44</v>
      </c>
      <c r="L4" s="7" t="n">
        <v>17502.05</v>
      </c>
      <c r="M4" s="7" t="inlineStr">
        <is>
          <t>Overdue</t>
        </is>
      </c>
      <c r="N4" s="7">
        <f>IF(OR(E4="Apex Office Supplies",E4="Apex Office Supply Ltd"),"Apex Office Supplies",IF(OR(E4="Northstar IT Services",E4="North Star IT Svc"),"Northstar IT Services",IF(OR(E4="Metro Logistics",E4="Metro Logistics Pvt Ltd"),"Metro Logistics",E4)))</f>
        <v/>
      </c>
      <c r="O4" s="7">
        <f>IF(AND(ISNUMBER(L4),L4&gt;0),"Valid","Review")</f>
        <v/>
      </c>
      <c r="P4" s="7">
        <f>IF(OR(E4="",F4="",NOT(ISNUMBER(L4))),"Check Missing/Invalid Data","OK")</f>
        <v/>
      </c>
    </row>
    <row r="5">
      <c r="A5" s="7" t="inlineStr">
        <is>
          <t>PO-00391</t>
        </is>
      </c>
      <c r="B5" s="9" t="n">
        <v>45659</v>
      </c>
      <c r="C5" s="7" t="inlineStr">
        <is>
          <t>Goods Receipt</t>
        </is>
      </c>
      <c r="D5" s="7" t="inlineStr">
        <is>
          <t>SUP007</t>
        </is>
      </c>
      <c r="E5" s="7">
        <f>IF(E5="","Unknown Supplier",TRIM(E5))</f>
        <v/>
      </c>
      <c r="F5" s="7">
        <f>IF(F5="","Unclassified",TRIM(F5))</f>
        <v/>
      </c>
      <c r="G5" s="7" t="inlineStr">
        <is>
          <t>Facility maintenance</t>
        </is>
      </c>
      <c r="H5" s="7" t="inlineStr">
        <is>
          <t>Operations</t>
        </is>
      </c>
      <c r="I5" s="7" t="inlineStr">
        <is>
          <t>North</t>
        </is>
      </c>
      <c r="J5" s="7" t="n">
        <v>81</v>
      </c>
      <c r="K5" s="7" t="n">
        <v>183.35</v>
      </c>
      <c r="L5" s="7" t="n">
        <v>14851.28</v>
      </c>
      <c r="M5" s="7" t="inlineStr">
        <is>
          <t>Paid</t>
        </is>
      </c>
      <c r="N5" s="7">
        <f>IF(OR(E5="Apex Office Supplies",E5="Apex Office Supply Ltd"),"Apex Office Supplies",IF(OR(E5="Northstar IT Services",E5="North Star IT Svc"),"Northstar IT Services",IF(OR(E5="Metro Logistics",E5="Metro Logistics Pvt Ltd"),"Metro Logistics",E5)))</f>
        <v/>
      </c>
      <c r="O5" s="7">
        <f>IF(AND(ISNUMBER(L5),L5&gt;0),"Valid","Review")</f>
        <v/>
      </c>
      <c r="P5" s="7">
        <f>IF(OR(E5="",F5="",NOT(ISNUMBER(L5))),"Check Missing/Invalid Data","OK")</f>
        <v/>
      </c>
    </row>
    <row r="6">
      <c r="A6" s="7" t="inlineStr">
        <is>
          <t>PO-00494</t>
        </is>
      </c>
      <c r="B6" s="9" t="n">
        <v>45660</v>
      </c>
      <c r="C6" s="7" t="inlineStr">
        <is>
          <t>Goods Receipt</t>
        </is>
      </c>
      <c r="D6" s="7" t="inlineStr">
        <is>
          <t>SUP006</t>
        </is>
      </c>
      <c r="E6" s="7">
        <f>IF(E6="","Unknown Supplier",TRIM(E6))</f>
        <v/>
      </c>
      <c r="F6" s="7">
        <f>IF(F6="","Unclassified",TRIM(F6))</f>
        <v/>
      </c>
      <c r="G6" s="7" t="inlineStr">
        <is>
          <t>Courier services</t>
        </is>
      </c>
      <c r="H6" s="7" t="inlineStr">
        <is>
          <t>Technology</t>
        </is>
      </c>
      <c r="I6" s="7" t="inlineStr">
        <is>
          <t>East</t>
        </is>
      </c>
      <c r="J6" s="7" t="n">
        <v>95</v>
      </c>
      <c r="K6" s="7" t="n">
        <v>73.03</v>
      </c>
      <c r="L6" s="7" t="n">
        <v>6937.5</v>
      </c>
      <c r="M6" s="7" t="inlineStr">
        <is>
          <t>Paid</t>
        </is>
      </c>
      <c r="N6" s="7">
        <f>IF(OR(E6="Apex Office Supplies",E6="Apex Office Supply Ltd"),"Apex Office Supplies",IF(OR(E6="Northstar IT Services",E6="North Star IT Svc"),"Northstar IT Services",IF(OR(E6="Metro Logistics",E6="Metro Logistics Pvt Ltd"),"Metro Logistics",E6)))</f>
        <v/>
      </c>
      <c r="O6" s="7">
        <f>IF(AND(ISNUMBER(L6),L6&gt;0),"Valid","Review")</f>
        <v/>
      </c>
      <c r="P6" s="7">
        <f>IF(OR(E6="",F6="",NOT(ISNUMBER(L6))),"Check Missing/Invalid Data","OK")</f>
        <v/>
      </c>
    </row>
    <row r="7">
      <c r="A7" s="7" t="inlineStr">
        <is>
          <t>PO-00271</t>
        </is>
      </c>
      <c r="B7" s="9" t="n">
        <v>45661</v>
      </c>
      <c r="C7" s="7" t="inlineStr">
        <is>
          <t>Goods Receipt</t>
        </is>
      </c>
      <c r="D7" s="7" t="inlineStr">
        <is>
          <t>SUP009</t>
        </is>
      </c>
      <c r="E7" s="7">
        <f>IF(E7="","Unknown Supplier",TRIM(E7))</f>
        <v/>
      </c>
      <c r="F7" s="7">
        <f>IF(F7="","Unclassified",TRIM(F7))</f>
        <v/>
      </c>
      <c r="G7" s="7" t="inlineStr">
        <is>
          <t>Training services</t>
        </is>
      </c>
      <c r="H7" s="7" t="inlineStr">
        <is>
          <t>Manufacturing</t>
        </is>
      </c>
      <c r="I7" s="7" t="inlineStr">
        <is>
          <t>East</t>
        </is>
      </c>
      <c r="J7" s="7" t="n">
        <v>68</v>
      </c>
      <c r="K7" s="7" t="n">
        <v>8.300000000000001</v>
      </c>
      <c r="L7" s="7" t="n">
        <v>564.22</v>
      </c>
      <c r="M7" s="7" t="inlineStr">
        <is>
          <t>Paid</t>
        </is>
      </c>
      <c r="N7" s="7">
        <f>IF(OR(E7="Apex Office Supplies",E7="Apex Office Supply Ltd"),"Apex Office Supplies",IF(OR(E7="Northstar IT Services",E7="North Star IT Svc"),"Northstar IT Services",IF(OR(E7="Metro Logistics",E7="Metro Logistics Pvt Ltd"),"Metro Logistics",E7)))</f>
        <v/>
      </c>
      <c r="O7" s="7">
        <f>IF(AND(ISNUMBER(L7),L7&gt;0),"Valid","Review")</f>
        <v/>
      </c>
      <c r="P7" s="7">
        <f>IF(OR(E7="",F7="",NOT(ISNUMBER(L7))),"Check Missing/Invalid Data","OK")</f>
        <v/>
      </c>
    </row>
    <row r="8">
      <c r="A8" s="7" t="inlineStr">
        <is>
          <t>PO-00354</t>
        </is>
      </c>
      <c r="B8" s="9" t="n">
        <v>45661</v>
      </c>
      <c r="C8" s="7" t="inlineStr">
        <is>
          <t>Goods Receipt</t>
        </is>
      </c>
      <c r="D8" s="7" t="inlineStr">
        <is>
          <t>SUP007</t>
        </is>
      </c>
      <c r="E8" s="7">
        <f>IF(E8="","Unknown Supplier",TRIM(E8))</f>
        <v/>
      </c>
      <c r="F8" s="7">
        <f>IF(F8="","Unclassified",TRIM(F8))</f>
        <v/>
      </c>
      <c r="G8" s="7" t="inlineStr">
        <is>
          <t>Repair parts</t>
        </is>
      </c>
      <c r="H8" s="7" t="inlineStr">
        <is>
          <t>Technology</t>
        </is>
      </c>
      <c r="I8" s="7" t="inlineStr">
        <is>
          <t>North</t>
        </is>
      </c>
      <c r="J8" s="7" t="n">
        <v>108</v>
      </c>
      <c r="K8" s="7" t="n">
        <v>58.46</v>
      </c>
      <c r="L8" s="7" t="n">
        <v>6314.06</v>
      </c>
      <c r="M8" s="7" t="inlineStr">
        <is>
          <t>Overdue</t>
        </is>
      </c>
      <c r="N8" s="7">
        <f>IF(OR(E8="Apex Office Supplies",E8="Apex Office Supply Ltd"),"Apex Office Supplies",IF(OR(E8="Northstar IT Services",E8="North Star IT Svc"),"Northstar IT Services",IF(OR(E8="Metro Logistics",E8="Metro Logistics Pvt Ltd"),"Metro Logistics",E8)))</f>
        <v/>
      </c>
      <c r="O8" s="7">
        <f>IF(AND(ISNUMBER(L8),L8&gt;0),"Valid","Review")</f>
        <v/>
      </c>
      <c r="P8" s="7">
        <f>IF(OR(E8="",F8="",NOT(ISNUMBER(L8))),"Check Missing/Invalid Data","OK")</f>
        <v/>
      </c>
    </row>
    <row r="9">
      <c r="A9" s="7" t="inlineStr">
        <is>
          <t>PO-00061</t>
        </is>
      </c>
      <c r="B9" s="9" t="n">
        <v>45661</v>
      </c>
      <c r="C9" s="7" t="inlineStr">
        <is>
          <t>Invoice</t>
        </is>
      </c>
      <c r="D9" s="7" t="inlineStr">
        <is>
          <t>SUP006</t>
        </is>
      </c>
      <c r="E9" s="7">
        <f>IF(E9="","Unknown Supplier",TRIM(E9))</f>
        <v/>
      </c>
      <c r="F9" s="7">
        <f>IF(F9="","Unclassified",TRIM(F9))</f>
        <v/>
      </c>
      <c r="G9" s="7" t="inlineStr">
        <is>
          <t>Warehouse handling</t>
        </is>
      </c>
      <c r="H9" s="7" t="inlineStr">
        <is>
          <t>Manufacturing</t>
        </is>
      </c>
      <c r="I9" s="7" t="inlineStr">
        <is>
          <t>South</t>
        </is>
      </c>
      <c r="J9" s="7" t="n">
        <v>115</v>
      </c>
      <c r="K9" s="7" t="n">
        <v>104.85</v>
      </c>
      <c r="L9" s="7" t="n">
        <v>12058.03</v>
      </c>
      <c r="M9" s="7" t="inlineStr">
        <is>
          <t>Pending</t>
        </is>
      </c>
      <c r="N9" s="7">
        <f>IF(OR(E9="Apex Office Supplies",E9="Apex Office Supply Ltd"),"Apex Office Supplies",IF(OR(E9="Northstar IT Services",E9="North Star IT Svc"),"Northstar IT Services",IF(OR(E9="Metro Logistics",E9="Metro Logistics Pvt Ltd"),"Metro Logistics",E9)))</f>
        <v/>
      </c>
      <c r="O9" s="7">
        <f>IF(AND(ISNUMBER(L9),L9&gt;0),"Valid","Review")</f>
        <v/>
      </c>
      <c r="P9" s="7">
        <f>IF(OR(E9="",F9="",NOT(ISNUMBER(L9))),"Check Missing/Invalid Data","OK")</f>
        <v/>
      </c>
    </row>
    <row r="10">
      <c r="A10" s="7" t="inlineStr">
        <is>
          <t>PO-00506</t>
        </is>
      </c>
      <c r="B10" s="9" t="n">
        <v>45661</v>
      </c>
      <c r="C10" s="7" t="inlineStr">
        <is>
          <t>Purchase Order</t>
        </is>
      </c>
      <c r="D10" s="7" t="inlineStr">
        <is>
          <t>SUP009</t>
        </is>
      </c>
      <c r="E10" s="7">
        <f>IF(E10="","Unknown Supplier",TRIM(E10))</f>
        <v/>
      </c>
      <c r="F10" s="7">
        <f>IF(F10="","Unclassified",TRIM(F10))</f>
        <v/>
      </c>
      <c r="G10" s="7" t="inlineStr">
        <is>
          <t>Audit support</t>
        </is>
      </c>
      <c r="H10" s="7" t="inlineStr">
        <is>
          <t>Technology</t>
        </is>
      </c>
      <c r="I10" s="7" t="inlineStr">
        <is>
          <t>South</t>
        </is>
      </c>
      <c r="J10" s="7" t="n">
        <v>30</v>
      </c>
      <c r="K10" s="7" t="n">
        <v>452.51</v>
      </c>
      <c r="L10" s="7" t="n">
        <v>13575.16</v>
      </c>
      <c r="M10" s="7" t="inlineStr">
        <is>
          <t>Paid</t>
        </is>
      </c>
      <c r="N10" s="7">
        <f>IF(OR(E10="Apex Office Supplies",E10="Apex Office Supply Ltd"),"Apex Office Supplies",IF(OR(E10="Northstar IT Services",E10="North Star IT Svc"),"Northstar IT Services",IF(OR(E10="Metro Logistics",E10="Metro Logistics Pvt Ltd"),"Metro Logistics",E10)))</f>
        <v/>
      </c>
      <c r="O10" s="7">
        <f>IF(AND(ISNUMBER(L10),L10&gt;0),"Valid","Review")</f>
        <v/>
      </c>
      <c r="P10" s="7">
        <f>IF(OR(E10="",F10="",NOT(ISNUMBER(L10))),"Check Missing/Invalid Data","OK")</f>
        <v/>
      </c>
    </row>
    <row r="11">
      <c r="A11" s="7" t="inlineStr">
        <is>
          <t>PO-00413</t>
        </is>
      </c>
      <c r="B11" s="9" t="n">
        <v>45662</v>
      </c>
      <c r="C11" s="7" t="inlineStr">
        <is>
          <t>Purchase Order</t>
        </is>
      </c>
      <c r="D11" s="7" t="inlineStr">
        <is>
          <t>SUP008</t>
        </is>
      </c>
      <c r="E11" s="7">
        <f>IF(E11="","Unknown Supplier",TRIM(E11))</f>
        <v/>
      </c>
      <c r="F11" s="7">
        <f>IF(F11="","Unclassified",TRIM(F11))</f>
        <v/>
      </c>
      <c r="G11" s="7" t="inlineStr">
        <is>
          <t>Corrugated boxes</t>
        </is>
      </c>
      <c r="H11" s="7" t="inlineStr">
        <is>
          <t>Technology</t>
        </is>
      </c>
      <c r="I11" s="7" t="inlineStr">
        <is>
          <t>East</t>
        </is>
      </c>
      <c r="J11" s="7" t="n">
        <v>77</v>
      </c>
      <c r="K11" s="7" t="n">
        <v>151.88</v>
      </c>
      <c r="L11" s="7" t="n">
        <v>11695</v>
      </c>
      <c r="M11" s="7" t="inlineStr">
        <is>
          <t>Overdue</t>
        </is>
      </c>
      <c r="N11" s="7">
        <f>IF(OR(E11="Apex Office Supplies",E11="Apex Office Supply Ltd"),"Apex Office Supplies",IF(OR(E11="Northstar IT Services",E11="North Star IT Svc"),"Northstar IT Services",IF(OR(E11="Metro Logistics",E11="Metro Logistics Pvt Ltd"),"Metro Logistics",E11)))</f>
        <v/>
      </c>
      <c r="O11" s="7">
        <f>IF(AND(ISNUMBER(L11),L11&gt;0),"Valid","Review")</f>
        <v/>
      </c>
      <c r="P11" s="7">
        <f>IF(OR(E11="",F11="",NOT(ISNUMBER(L11))),"Check Missing/Invalid Data","OK")</f>
        <v/>
      </c>
    </row>
    <row r="12">
      <c r="A12" s="7" t="inlineStr">
        <is>
          <t>PO-00117</t>
        </is>
      </c>
      <c r="B12" s="9" t="n">
        <v>45662</v>
      </c>
      <c r="C12" s="7" t="inlineStr">
        <is>
          <t>Goods Receipt</t>
        </is>
      </c>
      <c r="D12" s="7" t="inlineStr">
        <is>
          <t>SUP010</t>
        </is>
      </c>
      <c r="E12" s="7">
        <f>IF(E12="","Unknown Supplier",TRIM(E12))</f>
        <v/>
      </c>
      <c r="F12" s="7">
        <f>IF(F12="","Unclassified",TRIM(F12))</f>
        <v/>
      </c>
      <c r="G12" s="7" t="inlineStr">
        <is>
          <t>Natural gas</t>
        </is>
      </c>
      <c r="H12" s="7" t="inlineStr">
        <is>
          <t>Sales</t>
        </is>
      </c>
      <c r="I12" s="7" t="inlineStr">
        <is>
          <t>East</t>
        </is>
      </c>
      <c r="J12" s="7" t="n">
        <v>7</v>
      </c>
      <c r="K12" s="7" t="n">
        <v>2005.17</v>
      </c>
      <c r="L12" s="7" t="n">
        <v>14036.21</v>
      </c>
      <c r="M12" s="7" t="inlineStr">
        <is>
          <t>Paid</t>
        </is>
      </c>
      <c r="N12" s="7">
        <f>IF(OR(E12="Apex Office Supplies",E12="Apex Office Supply Ltd"),"Apex Office Supplies",IF(OR(E12="Northstar IT Services",E12="North Star IT Svc"),"Northstar IT Services",IF(OR(E12="Metro Logistics",E12="Metro Logistics Pvt Ltd"),"Metro Logistics",E12)))</f>
        <v/>
      </c>
      <c r="O12" s="7">
        <f>IF(AND(ISNUMBER(L12),L12&gt;0),"Valid","Review")</f>
        <v/>
      </c>
      <c r="P12" s="7">
        <f>IF(OR(E12="",F12="",NOT(ISNUMBER(L12))),"Check Missing/Invalid Data","OK")</f>
        <v/>
      </c>
    </row>
    <row r="13">
      <c r="A13" s="7" t="inlineStr">
        <is>
          <t>PO-00331</t>
        </is>
      </c>
      <c r="B13" s="9" t="n">
        <v>45662</v>
      </c>
      <c r="C13" s="7" t="inlineStr">
        <is>
          <t>Invoice</t>
        </is>
      </c>
      <c r="D13" s="7" t="inlineStr">
        <is>
          <t>SUP012</t>
        </is>
      </c>
      <c r="E13" s="7">
        <f>IF(E13="","Unknown Supplier",TRIM(E13))</f>
        <v/>
      </c>
      <c r="F13" s="7">
        <f>IF(F13="","Unclassified",TRIM(F13))</f>
        <v/>
      </c>
      <c r="G13" s="7" t="inlineStr">
        <is>
          <t>Tools and supplies</t>
        </is>
      </c>
      <c r="H13" s="7" t="inlineStr">
        <is>
          <t>Operations</t>
        </is>
      </c>
      <c r="I13" s="7" t="inlineStr">
        <is>
          <t>West</t>
        </is>
      </c>
      <c r="J13" s="7" t="n">
        <v>111</v>
      </c>
      <c r="K13" s="7" t="n">
        <v>20.51</v>
      </c>
      <c r="L13" s="7" t="n">
        <v>2276.22</v>
      </c>
      <c r="M13" s="7" t="inlineStr">
        <is>
          <t>Paid</t>
        </is>
      </c>
      <c r="N13" s="7">
        <f>IF(OR(E13="Apex Office Supplies",E13="Apex Office Supply Ltd"),"Apex Office Supplies",IF(OR(E13="Northstar IT Services",E13="North Star IT Svc"),"Northstar IT Services",IF(OR(E13="Metro Logistics",E13="Metro Logistics Pvt Ltd"),"Metro Logistics",E13)))</f>
        <v/>
      </c>
      <c r="O13" s="7">
        <f>IF(AND(ISNUMBER(L13),L13&gt;0),"Valid","Review")</f>
        <v/>
      </c>
      <c r="P13" s="7">
        <f>IF(OR(E13="",F13="",NOT(ISNUMBER(L13))),"Check Missing/Invalid Data","OK")</f>
        <v/>
      </c>
    </row>
    <row r="14">
      <c r="A14" s="7" t="inlineStr">
        <is>
          <t>PO-00384</t>
        </is>
      </c>
      <c r="B14" s="9" t="n">
        <v>45663</v>
      </c>
      <c r="C14" s="7" t="inlineStr">
        <is>
          <t>Invoice</t>
        </is>
      </c>
      <c r="D14" s="7" t="inlineStr">
        <is>
          <t>SUP005</t>
        </is>
      </c>
      <c r="E14" s="7">
        <f>IF(E14="","Unknown Supplier",TRIM(E14))</f>
        <v/>
      </c>
      <c r="F14" s="7">
        <f>IF(F14="","Unclassified",TRIM(F14))</f>
        <v/>
      </c>
      <c r="G14" s="7" t="inlineStr">
        <is>
          <t>Freight services</t>
        </is>
      </c>
      <c r="H14" s="7" t="inlineStr">
        <is>
          <t>Corporate</t>
        </is>
      </c>
      <c r="I14" s="7" t="inlineStr">
        <is>
          <t>North</t>
        </is>
      </c>
      <c r="J14" s="7" t="n">
        <v>45</v>
      </c>
      <c r="K14" s="7" t="n">
        <v>472.75</v>
      </c>
      <c r="L14" s="7" t="n">
        <v>21273.78</v>
      </c>
      <c r="M14" s="7" t="inlineStr">
        <is>
          <t>Pending</t>
        </is>
      </c>
      <c r="N14" s="7">
        <f>IF(OR(E14="Apex Office Supplies",E14="Apex Office Supply Ltd"),"Apex Office Supplies",IF(OR(E14="Northstar IT Services",E14="North Star IT Svc"),"Northstar IT Services",IF(OR(E14="Metro Logistics",E14="Metro Logistics Pvt Ltd"),"Metro Logistics",E14)))</f>
        <v/>
      </c>
      <c r="O14" s="7">
        <f>IF(AND(ISNUMBER(L14),L14&gt;0),"Valid","Review")</f>
        <v/>
      </c>
      <c r="P14" s="7">
        <f>IF(OR(E14="",F14="",NOT(ISNUMBER(L14))),"Check Missing/Invalid Data","OK")</f>
        <v/>
      </c>
    </row>
    <row r="15">
      <c r="A15" s="7" t="inlineStr">
        <is>
          <t>PO-00345</t>
        </is>
      </c>
      <c r="B15" s="9" t="n">
        <v>45663</v>
      </c>
      <c r="C15" s="7" t="inlineStr">
        <is>
          <t>Goods Receipt</t>
        </is>
      </c>
      <c r="D15" s="7" t="inlineStr">
        <is>
          <t>SUP003</t>
        </is>
      </c>
      <c r="E15" s="7">
        <f>IF(E15="","Unknown Supplier",TRIM(E15))</f>
        <v/>
      </c>
      <c r="F15" s="7">
        <f>IF(F15="","Unclassified",TRIM(F15))</f>
        <v/>
      </c>
      <c r="G15" s="7" t="inlineStr">
        <is>
          <t>Cloud services</t>
        </is>
      </c>
      <c r="H15" s="7" t="inlineStr">
        <is>
          <t>Operations</t>
        </is>
      </c>
      <c r="I15" s="7" t="inlineStr">
        <is>
          <t>East</t>
        </is>
      </c>
      <c r="J15" s="7" t="n">
        <v>67</v>
      </c>
      <c r="K15" s="7" t="n">
        <v>160.34</v>
      </c>
      <c r="L15" s="7" t="n">
        <v>10742.45</v>
      </c>
      <c r="M15" s="7" t="inlineStr">
        <is>
          <t>Paid</t>
        </is>
      </c>
      <c r="N15" s="7">
        <f>IF(OR(E15="Apex Office Supplies",E15="Apex Office Supply Ltd"),"Apex Office Supplies",IF(OR(E15="Northstar IT Services",E15="North Star IT Svc"),"Northstar IT Services",IF(OR(E15="Metro Logistics",E15="Metro Logistics Pvt Ltd"),"Metro Logistics",E15)))</f>
        <v/>
      </c>
      <c r="O15" s="7">
        <f>IF(AND(ISNUMBER(L15),L15&gt;0),"Valid","Review")</f>
        <v/>
      </c>
      <c r="P15" s="7">
        <f>IF(OR(E15="",F15="",NOT(ISNUMBER(L15))),"Check Missing/Invalid Data","OK")</f>
        <v/>
      </c>
    </row>
    <row r="16">
      <c r="A16" s="7" t="inlineStr">
        <is>
          <t>PO-00526</t>
        </is>
      </c>
      <c r="B16" s="9" t="n">
        <v>45663</v>
      </c>
      <c r="C16" s="7" t="inlineStr">
        <is>
          <t>Invoice</t>
        </is>
      </c>
      <c r="D16" s="7" t="inlineStr">
        <is>
          <t>SUP004</t>
        </is>
      </c>
      <c r="E16" s="7">
        <f>IF(E16="","Unknown Supplier",TRIM(E16))</f>
        <v/>
      </c>
      <c r="F16" s="7">
        <f>IF(F16="","Unclassified",TRIM(F16))</f>
        <v/>
      </c>
      <c r="G16" s="7" t="inlineStr">
        <is>
          <t>Software support</t>
        </is>
      </c>
      <c r="H16" s="7" t="inlineStr">
        <is>
          <t>Corporate</t>
        </is>
      </c>
      <c r="I16" s="7" t="inlineStr">
        <is>
          <t>South</t>
        </is>
      </c>
      <c r="J16" s="7" t="n">
        <v>67</v>
      </c>
      <c r="K16" s="7" t="n">
        <v>425.3</v>
      </c>
      <c r="L16" s="7" t="n">
        <v>28495.33</v>
      </c>
      <c r="M16" s="7" t="inlineStr">
        <is>
          <t>Overdue</t>
        </is>
      </c>
      <c r="N16" s="7">
        <f>IF(OR(E16="Apex Office Supplies",E16="Apex Office Supply Ltd"),"Apex Office Supplies",IF(OR(E16="Northstar IT Services",E16="North Star IT Svc"),"Northstar IT Services",IF(OR(E16="Metro Logistics",E16="Metro Logistics Pvt Ltd"),"Metro Logistics",E16)))</f>
        <v/>
      </c>
      <c r="O16" s="7">
        <f>IF(AND(ISNUMBER(L16),L16&gt;0),"Valid","Review")</f>
        <v/>
      </c>
      <c r="P16" s="7">
        <f>IF(OR(E16="",F16="",NOT(ISNUMBER(L16))),"Check Missing/Invalid Data","OK")</f>
        <v/>
      </c>
    </row>
    <row r="17">
      <c r="A17" s="7" t="inlineStr">
        <is>
          <t>PO-00561</t>
        </is>
      </c>
      <c r="B17" s="9" t="n">
        <v>45663</v>
      </c>
      <c r="C17" s="7" t="inlineStr">
        <is>
          <t>Invoice</t>
        </is>
      </c>
      <c r="D17" s="7" t="inlineStr">
        <is>
          <t>SUP001</t>
        </is>
      </c>
      <c r="E17" s="7">
        <f>IF(E17="","Unknown Supplier",TRIM(E17))</f>
        <v/>
      </c>
      <c r="F17" s="7">
        <f>IF(F17="","Unclassified",TRIM(F17))</f>
        <v/>
      </c>
      <c r="G17" s="7" t="inlineStr">
        <is>
          <t>Pens and stationery</t>
        </is>
      </c>
      <c r="H17" s="7" t="inlineStr">
        <is>
          <t>Sales</t>
        </is>
      </c>
      <c r="I17" s="7" t="inlineStr">
        <is>
          <t>North</t>
        </is>
      </c>
      <c r="J17" s="7" t="n">
        <v>18</v>
      </c>
      <c r="K17" s="7" t="n">
        <v>759.91</v>
      </c>
      <c r="L17" s="7" t="n">
        <v>13678.29</v>
      </c>
      <c r="M17" s="7" t="inlineStr">
        <is>
          <t>Overdue</t>
        </is>
      </c>
      <c r="N17" s="7">
        <f>IF(OR(E17="Apex Office Supplies",E17="Apex Office Supply Ltd"),"Apex Office Supplies",IF(OR(E17="Northstar IT Services",E17="North Star IT Svc"),"Northstar IT Services",IF(OR(E17="Metro Logistics",E17="Metro Logistics Pvt Ltd"),"Metro Logistics",E17)))</f>
        <v/>
      </c>
      <c r="O17" s="7">
        <f>IF(AND(ISNUMBER(L17),L17&gt;0),"Valid","Review")</f>
        <v/>
      </c>
      <c r="P17" s="7">
        <f>IF(OR(E17="",F17="",NOT(ISNUMBER(L17))),"Check Missing/Invalid Data","OK")</f>
        <v/>
      </c>
    </row>
    <row r="18">
      <c r="A18" s="7" t="inlineStr">
        <is>
          <t>PO-00349</t>
        </is>
      </c>
      <c r="B18" s="9" t="n">
        <v>45664</v>
      </c>
      <c r="C18" s="7" t="inlineStr">
        <is>
          <t>Purchase Order</t>
        </is>
      </c>
      <c r="D18" s="7" t="inlineStr">
        <is>
          <t>SUP004</t>
        </is>
      </c>
      <c r="E18" s="7">
        <f>IF(E18="","Unknown Supplier",TRIM(E18))</f>
        <v/>
      </c>
      <c r="F18" s="7">
        <f>IF(F18="","Unclassified",TRIM(F18))</f>
        <v/>
      </c>
      <c r="G18" s="7" t="inlineStr">
        <is>
          <t>Business consulting</t>
        </is>
      </c>
      <c r="H18" s="7" t="inlineStr">
        <is>
          <t>Manufacturing</t>
        </is>
      </c>
      <c r="I18" s="7" t="inlineStr">
        <is>
          <t>West</t>
        </is>
      </c>
      <c r="J18" s="7" t="n">
        <v>20</v>
      </c>
      <c r="K18" s="7" t="n">
        <v>592.25</v>
      </c>
      <c r="L18" s="7" t="n">
        <v>11845.04</v>
      </c>
      <c r="M18" s="7" t="inlineStr">
        <is>
          <t>Paid</t>
        </is>
      </c>
      <c r="N18" s="7">
        <f>IF(OR(E18="Apex Office Supplies",E18="Apex Office Supply Ltd"),"Apex Office Supplies",IF(OR(E18="Northstar IT Services",E18="North Star IT Svc"),"Northstar IT Services",IF(OR(E18="Metro Logistics",E18="Metro Logistics Pvt Ltd"),"Metro Logistics",E18)))</f>
        <v/>
      </c>
      <c r="O18" s="7">
        <f>IF(AND(ISNUMBER(L18),L18&gt;0),"Valid","Review")</f>
        <v/>
      </c>
      <c r="P18" s="7">
        <f>IF(OR(E18="",F18="",NOT(ISNUMBER(L18))),"Check Missing/Invalid Data","OK")</f>
        <v/>
      </c>
    </row>
    <row r="19">
      <c r="A19" s="7" t="inlineStr">
        <is>
          <t>PO-00466</t>
        </is>
      </c>
      <c r="B19" s="9" t="n">
        <v>45664</v>
      </c>
      <c r="C19" s="7" t="inlineStr">
        <is>
          <t>Goods Receipt</t>
        </is>
      </c>
      <c r="D19" s="7" t="inlineStr">
        <is>
          <t>SUP009</t>
        </is>
      </c>
      <c r="E19" s="7">
        <f>IF(E19="","Unknown Supplier",TRIM(E19))</f>
        <v/>
      </c>
      <c r="F19" s="7">
        <f>IF(F19="","Unclassified",TRIM(F19))</f>
        <v/>
      </c>
      <c r="G19" s="7" t="inlineStr">
        <is>
          <t>Business consulting</t>
        </is>
      </c>
      <c r="H19" s="7" t="inlineStr">
        <is>
          <t>Operations</t>
        </is>
      </c>
      <c r="I19" s="7" t="inlineStr">
        <is>
          <t>East</t>
        </is>
      </c>
      <c r="J19" s="7" t="n">
        <v>7</v>
      </c>
      <c r="K19" s="7" t="n">
        <v>1682.99</v>
      </c>
      <c r="L19" s="7" t="n">
        <v>11780.93</v>
      </c>
      <c r="M19" s="7" t="inlineStr">
        <is>
          <t>Paid</t>
        </is>
      </c>
      <c r="N19" s="7">
        <f>IF(OR(E19="Apex Office Supplies",E19="Apex Office Supply Ltd"),"Apex Office Supplies",IF(OR(E19="Northstar IT Services",E19="North Star IT Svc"),"Northstar IT Services",IF(OR(E19="Metro Logistics",E19="Metro Logistics Pvt Ltd"),"Metro Logistics",E19)))</f>
        <v/>
      </c>
      <c r="O19" s="7">
        <f>IF(AND(ISNUMBER(L19),L19&gt;0),"Valid","Review")</f>
        <v/>
      </c>
      <c r="P19" s="7">
        <f>IF(OR(E19="",F19="",NOT(ISNUMBER(L19))),"Check Missing/Invalid Data","OK")</f>
        <v/>
      </c>
    </row>
    <row r="20">
      <c r="A20" s="7" t="inlineStr">
        <is>
          <t>PO-00100</t>
        </is>
      </c>
      <c r="B20" s="9" t="n">
        <v>45665</v>
      </c>
      <c r="C20" s="7" t="inlineStr">
        <is>
          <t>Purchase Order</t>
        </is>
      </c>
      <c r="D20" s="7" t="inlineStr">
        <is>
          <t>SUP009</t>
        </is>
      </c>
      <c r="E20" s="7">
        <f>IF(E20="","Unknown Supplier",TRIM(E20))</f>
        <v/>
      </c>
      <c r="F20" s="7">
        <f>IF(F20="","Unclassified",TRIM(F20))</f>
        <v/>
      </c>
      <c r="G20" s="7" t="inlineStr">
        <is>
          <t>Training services</t>
        </is>
      </c>
      <c r="H20" s="7" t="inlineStr">
        <is>
          <t>Corporate</t>
        </is>
      </c>
      <c r="I20" s="7" t="inlineStr">
        <is>
          <t>South</t>
        </is>
      </c>
      <c r="J20" s="7" t="n">
        <v>108</v>
      </c>
      <c r="K20" s="7" t="n">
        <v>65.13</v>
      </c>
      <c r="L20" s="7" t="n">
        <v>7034</v>
      </c>
      <c r="M20" s="7" t="inlineStr">
        <is>
          <t>Pending</t>
        </is>
      </c>
      <c r="N20" s="7">
        <f>IF(OR(E20="Apex Office Supplies",E20="Apex Office Supply Ltd"),"Apex Office Supplies",IF(OR(E20="Northstar IT Services",E20="North Star IT Svc"),"Northstar IT Services",IF(OR(E20="Metro Logistics",E20="Metro Logistics Pvt Ltd"),"Metro Logistics",E20)))</f>
        <v/>
      </c>
      <c r="O20" s="7">
        <f>IF(AND(ISNUMBER(L20),L20&gt;0),"Valid","Review")</f>
        <v/>
      </c>
      <c r="P20" s="7">
        <f>IF(OR(E20="",F20="",NOT(ISNUMBER(L20))),"Check Missing/Invalid Data","OK")</f>
        <v/>
      </c>
    </row>
    <row r="21">
      <c r="A21" s="7" t="inlineStr">
        <is>
          <t>PO-00077</t>
        </is>
      </c>
      <c r="B21" s="9" t="n">
        <v>45666</v>
      </c>
      <c r="C21" s="7" t="inlineStr">
        <is>
          <t>Invoice</t>
        </is>
      </c>
      <c r="D21" s="7" t="inlineStr">
        <is>
          <t>SUP002</t>
        </is>
      </c>
      <c r="E21" s="7">
        <f>IF(E21="","Unknown Supplier",TRIM(E21))</f>
        <v/>
      </c>
      <c r="F21" s="7">
        <f>IF(F21="","Unclassified",TRIM(F21))</f>
        <v/>
      </c>
      <c r="G21" s="7" t="inlineStr">
        <is>
          <t>Toner cartridges</t>
        </is>
      </c>
      <c r="H21" s="7" t="inlineStr">
        <is>
          <t>Manufacturing</t>
        </is>
      </c>
      <c r="I21" s="7" t="inlineStr">
        <is>
          <t>East</t>
        </is>
      </c>
      <c r="J21" s="7" t="n">
        <v>32</v>
      </c>
      <c r="K21" s="7" t="n">
        <v>229.71</v>
      </c>
      <c r="L21" s="7" t="n">
        <v>7350.69</v>
      </c>
      <c r="M21" s="7" t="inlineStr">
        <is>
          <t>Pending</t>
        </is>
      </c>
      <c r="N21" s="7">
        <f>IF(OR(E21="Apex Office Supplies",E21="Apex Office Supply Ltd"),"Apex Office Supplies",IF(OR(E21="Northstar IT Services",E21="North Star IT Svc"),"Northstar IT Services",IF(OR(E21="Metro Logistics",E21="Metro Logistics Pvt Ltd"),"Metro Logistics",E21)))</f>
        <v/>
      </c>
      <c r="O21" s="7">
        <f>IF(AND(ISNUMBER(L21),L21&gt;0),"Valid","Review")</f>
        <v/>
      </c>
      <c r="P21" s="7">
        <f>IF(OR(E21="",F21="",NOT(ISNUMBER(L21))),"Check Missing/Invalid Data","OK")</f>
        <v/>
      </c>
    </row>
    <row r="22">
      <c r="A22" s="7" t="inlineStr">
        <is>
          <t>PO-00593</t>
        </is>
      </c>
      <c r="B22" s="9" t="n">
        <v>45666</v>
      </c>
      <c r="C22" s="7" t="inlineStr">
        <is>
          <t>Invoice</t>
        </is>
      </c>
      <c r="D22" s="7" t="inlineStr">
        <is>
          <t>SUP009</t>
        </is>
      </c>
      <c r="E22" s="7">
        <f>IF(E22="","Unknown Supplier",TRIM(E22))</f>
        <v/>
      </c>
      <c r="F22" s="7">
        <f>IF(F22="","Unclassified",TRIM(F22))</f>
        <v/>
      </c>
      <c r="G22" s="7" t="inlineStr">
        <is>
          <t>Business consulting</t>
        </is>
      </c>
      <c r="H22" s="7" t="inlineStr">
        <is>
          <t>Operations</t>
        </is>
      </c>
      <c r="I22" s="7" t="inlineStr">
        <is>
          <t>East</t>
        </is>
      </c>
      <c r="J22" s="7" t="n">
        <v>1</v>
      </c>
      <c r="K22" s="7" t="n">
        <v>27266.31</v>
      </c>
      <c r="L22" s="7" t="n">
        <v>27266.31</v>
      </c>
      <c r="M22" s="7" t="inlineStr">
        <is>
          <t>Paid</t>
        </is>
      </c>
      <c r="N22" s="7">
        <f>IF(OR(E22="Apex Office Supplies",E22="Apex Office Supply Ltd"),"Apex Office Supplies",IF(OR(E22="Northstar IT Services",E22="North Star IT Svc"),"Northstar IT Services",IF(OR(E22="Metro Logistics",E22="Metro Logistics Pvt Ltd"),"Metro Logistics",E22)))</f>
        <v/>
      </c>
      <c r="O22" s="7">
        <f>IF(AND(ISNUMBER(L22),L22&gt;0),"Valid","Review")</f>
        <v/>
      </c>
      <c r="P22" s="7">
        <f>IF(OR(E22="",F22="",NOT(ISNUMBER(L22))),"Check Missing/Invalid Data","OK")</f>
        <v/>
      </c>
    </row>
    <row r="23">
      <c r="A23" s="7" t="inlineStr">
        <is>
          <t>PO-00021</t>
        </is>
      </c>
      <c r="B23" s="9" t="n">
        <v>45668</v>
      </c>
      <c r="C23" s="7" t="inlineStr">
        <is>
          <t>Purchase Order</t>
        </is>
      </c>
      <c r="D23" s="7" t="inlineStr">
        <is>
          <t>SUP010</t>
        </is>
      </c>
      <c r="E23" s="7">
        <f>IF(E23="","Unknown Supplier",TRIM(E23))</f>
        <v/>
      </c>
      <c r="F23" s="7">
        <f>IF(F23="","Unclassified",TRIM(F23))</f>
        <v/>
      </c>
      <c r="G23" s="7" t="inlineStr">
        <is>
          <t>Natural gas</t>
        </is>
      </c>
      <c r="H23" s="7" t="inlineStr">
        <is>
          <t>Corporate</t>
        </is>
      </c>
      <c r="I23" s="7" t="inlineStr">
        <is>
          <t>South</t>
        </is>
      </c>
      <c r="J23" s="7" t="n">
        <v>1</v>
      </c>
      <c r="K23" s="7" t="n">
        <v>10641.31</v>
      </c>
      <c r="L23" s="7" t="n">
        <v>10641.31</v>
      </c>
      <c r="M23" s="7" t="inlineStr">
        <is>
          <t>Paid</t>
        </is>
      </c>
      <c r="N23" s="7">
        <f>IF(OR(E23="Apex Office Supplies",E23="Apex Office Supply Ltd"),"Apex Office Supplies",IF(OR(E23="Northstar IT Services",E23="North Star IT Svc"),"Northstar IT Services",IF(OR(E23="Metro Logistics",E23="Metro Logistics Pvt Ltd"),"Metro Logistics",E23)))</f>
        <v/>
      </c>
      <c r="O23" s="7">
        <f>IF(AND(ISNUMBER(L23),L23&gt;0),"Valid","Review")</f>
        <v/>
      </c>
      <c r="P23" s="7">
        <f>IF(OR(E23="",F23="",NOT(ISNUMBER(L23))),"Check Missing/Invalid Data","OK")</f>
        <v/>
      </c>
    </row>
    <row r="24">
      <c r="A24" s="7" t="inlineStr">
        <is>
          <t>PO-00419</t>
        </is>
      </c>
      <c r="B24" s="9" t="n">
        <v>45671</v>
      </c>
      <c r="C24" s="7" t="inlineStr">
        <is>
          <t>Invoice</t>
        </is>
      </c>
      <c r="D24" s="7" t="inlineStr">
        <is>
          <t>SUP011</t>
        </is>
      </c>
      <c r="E24" s="7">
        <f>IF(E24="","Unknown Supplier",TRIM(E24))</f>
        <v/>
      </c>
      <c r="F24" s="7">
        <f>IF(F24="","Unclassified",TRIM(F24))</f>
        <v/>
      </c>
      <c r="G24" s="7" t="inlineStr">
        <is>
          <t>Print advertising</t>
        </is>
      </c>
      <c r="H24" s="7" t="inlineStr">
        <is>
          <t>Sales</t>
        </is>
      </c>
      <c r="I24" s="7" t="inlineStr">
        <is>
          <t>North</t>
        </is>
      </c>
      <c r="J24" s="7" t="n">
        <v>117</v>
      </c>
      <c r="K24" s="7" t="n">
        <v>46.2</v>
      </c>
      <c r="L24" s="7" t="n">
        <v>5405.41</v>
      </c>
      <c r="M24" s="7" t="inlineStr">
        <is>
          <t>Overdue</t>
        </is>
      </c>
      <c r="N24" s="7">
        <f>IF(OR(E24="Apex Office Supplies",E24="Apex Office Supply Ltd"),"Apex Office Supplies",IF(OR(E24="Northstar IT Services",E24="North Star IT Svc"),"Northstar IT Services",IF(OR(E24="Metro Logistics",E24="Metro Logistics Pvt Ltd"),"Metro Logistics",E24)))</f>
        <v/>
      </c>
      <c r="O24" s="7">
        <f>IF(AND(ISNUMBER(L24),L24&gt;0),"Valid","Review")</f>
        <v/>
      </c>
      <c r="P24" s="7">
        <f>IF(OR(E24="",F24="",NOT(ISNUMBER(L24))),"Check Missing/Invalid Data","OK")</f>
        <v/>
      </c>
    </row>
    <row r="25">
      <c r="A25" s="7" t="inlineStr">
        <is>
          <t>PO-00176</t>
        </is>
      </c>
      <c r="B25" s="9" t="n">
        <v>45671</v>
      </c>
      <c r="C25" s="7" t="inlineStr">
        <is>
          <t>Purchase Order</t>
        </is>
      </c>
      <c r="D25" s="7" t="inlineStr">
        <is>
          <t>SUP007</t>
        </is>
      </c>
      <c r="E25" s="7">
        <f>IF(E25="","Unknown Supplier",TRIM(E25))</f>
        <v/>
      </c>
      <c r="F25" s="7">
        <f>IF(F25="","Unclassified",TRIM(F25))</f>
        <v/>
      </c>
      <c r="G25" s="7" t="inlineStr">
        <is>
          <t>Equipment servicing</t>
        </is>
      </c>
      <c r="H25" s="7" t="inlineStr">
        <is>
          <t>Operations</t>
        </is>
      </c>
      <c r="I25" s="7" t="inlineStr">
        <is>
          <t>North</t>
        </is>
      </c>
      <c r="J25" s="7" t="n">
        <v>50</v>
      </c>
      <c r="K25" s="7" t="n">
        <v>136.13</v>
      </c>
      <c r="L25" s="7" t="n">
        <v>6806.43</v>
      </c>
      <c r="M25" s="7" t="inlineStr">
        <is>
          <t>Pending</t>
        </is>
      </c>
      <c r="N25" s="7">
        <f>IF(OR(E25="Apex Office Supplies",E25="Apex Office Supply Ltd"),"Apex Office Supplies",IF(OR(E25="Northstar IT Services",E25="North Star IT Svc"),"Northstar IT Services",IF(OR(E25="Metro Logistics",E25="Metro Logistics Pvt Ltd"),"Metro Logistics",E25)))</f>
        <v/>
      </c>
      <c r="O25" s="7">
        <f>IF(AND(ISNUMBER(L25),L25&gt;0),"Valid","Review")</f>
        <v/>
      </c>
      <c r="P25" s="7">
        <f>IF(OR(E25="",F25="",NOT(ISNUMBER(L25))),"Check Missing/Invalid Data","OK")</f>
        <v/>
      </c>
    </row>
    <row r="26">
      <c r="A26" s="7" t="inlineStr">
        <is>
          <t>PO-00022</t>
        </is>
      </c>
      <c r="B26" s="9" t="n">
        <v>45674</v>
      </c>
      <c r="C26" s="7" t="inlineStr">
        <is>
          <t>Invoice</t>
        </is>
      </c>
      <c r="D26" s="7" t="inlineStr">
        <is>
          <t>SUP006</t>
        </is>
      </c>
      <c r="E26" s="7">
        <f>IF(E26="","Unknown Supplier",TRIM(E26))</f>
        <v/>
      </c>
      <c r="F26" s="7">
        <f>IF(F26="","Unclassified",TRIM(F26))</f>
        <v/>
      </c>
      <c r="G26" s="7" t="inlineStr">
        <is>
          <t>Freight services</t>
        </is>
      </c>
      <c r="H26" s="7" t="inlineStr">
        <is>
          <t>Manufacturing</t>
        </is>
      </c>
      <c r="I26" s="7" t="inlineStr">
        <is>
          <t>South</t>
        </is>
      </c>
      <c r="J26" s="7" t="n">
        <v>86</v>
      </c>
      <c r="K26" s="7" t="n">
        <v>86.48999999999999</v>
      </c>
      <c r="L26" s="7" t="n">
        <v>7438.39</v>
      </c>
      <c r="M26" s="7" t="inlineStr">
        <is>
          <t>Overdue</t>
        </is>
      </c>
      <c r="N26" s="7">
        <f>IF(OR(E26="Apex Office Supplies",E26="Apex Office Supply Ltd"),"Apex Office Supplies",IF(OR(E26="Northstar IT Services",E26="North Star IT Svc"),"Northstar IT Services",IF(OR(E26="Metro Logistics",E26="Metro Logistics Pvt Ltd"),"Metro Logistics",E26)))</f>
        <v/>
      </c>
      <c r="O26" s="7">
        <f>IF(AND(ISNUMBER(L26),L26&gt;0),"Valid","Review")</f>
        <v/>
      </c>
      <c r="P26" s="7">
        <f>IF(OR(E26="",F26="",NOT(ISNUMBER(L26))),"Check Missing/Invalid Data","OK")</f>
        <v/>
      </c>
    </row>
    <row r="27">
      <c r="A27" s="7" t="inlineStr">
        <is>
          <t>PO-00010</t>
        </is>
      </c>
      <c r="B27" s="9" t="n">
        <v>45674</v>
      </c>
      <c r="C27" s="7" t="inlineStr">
        <is>
          <t>Goods Receipt</t>
        </is>
      </c>
      <c r="D27" s="7" t="inlineStr">
        <is>
          <t>SUP006</t>
        </is>
      </c>
      <c r="E27" s="7">
        <f>IF(E27="","Unknown Supplier",TRIM(E27))</f>
        <v/>
      </c>
      <c r="F27" s="7">
        <f>IF(F27="","Unclassified",TRIM(F27))</f>
        <v/>
      </c>
      <c r="G27" s="7" t="inlineStr">
        <is>
          <t>Warehouse handling</t>
        </is>
      </c>
      <c r="H27" s="7" t="inlineStr">
        <is>
          <t>Technology</t>
        </is>
      </c>
      <c r="I27" s="7" t="inlineStr">
        <is>
          <t>South</t>
        </is>
      </c>
      <c r="J27" s="7" t="n">
        <v>117</v>
      </c>
      <c r="K27" s="7" t="n">
        <v>18.94</v>
      </c>
      <c r="L27" s="7" t="n">
        <v>2215.87</v>
      </c>
      <c r="M27" s="7" t="inlineStr">
        <is>
          <t>Overdue</t>
        </is>
      </c>
      <c r="N27" s="7">
        <f>IF(OR(E27="Apex Office Supplies",E27="Apex Office Supply Ltd"),"Apex Office Supplies",IF(OR(E27="Northstar IT Services",E27="North Star IT Svc"),"Northstar IT Services",IF(OR(E27="Metro Logistics",E27="Metro Logistics Pvt Ltd"),"Metro Logistics",E27)))</f>
        <v/>
      </c>
      <c r="O27" s="7">
        <f>IF(AND(ISNUMBER(L27),L27&gt;0),"Valid","Review")</f>
        <v/>
      </c>
      <c r="P27" s="7">
        <f>IF(OR(E27="",F27="",NOT(ISNUMBER(L27))),"Check Missing/Invalid Data","OK")</f>
        <v/>
      </c>
    </row>
    <row r="28">
      <c r="A28" s="7" t="inlineStr">
        <is>
          <t>PO-00382</t>
        </is>
      </c>
      <c r="B28" s="9" t="n">
        <v>45674</v>
      </c>
      <c r="C28" s="7" t="inlineStr">
        <is>
          <t>Purchase Order</t>
        </is>
      </c>
      <c r="D28" s="7" t="inlineStr">
        <is>
          <t>SUP003</t>
        </is>
      </c>
      <c r="E28" s="7">
        <f>IF(E28="","Unknown Supplier",TRIM(E28))</f>
        <v/>
      </c>
      <c r="F28" s="7">
        <f>IF(F28="","Unclassified",TRIM(F28))</f>
        <v/>
      </c>
      <c r="G28" s="7" t="inlineStr">
        <is>
          <t>IT consulting</t>
        </is>
      </c>
      <c r="H28" s="7" t="inlineStr">
        <is>
          <t>Manufacturing</t>
        </is>
      </c>
      <c r="I28" s="7" t="inlineStr">
        <is>
          <t>North</t>
        </is>
      </c>
      <c r="J28" s="7" t="n">
        <v>79</v>
      </c>
      <c r="K28" s="7" t="n">
        <v>356.96</v>
      </c>
      <c r="L28" s="7" t="n">
        <v>28199.88</v>
      </c>
      <c r="M28" s="7" t="inlineStr">
        <is>
          <t>Pending</t>
        </is>
      </c>
      <c r="N28" s="7">
        <f>IF(OR(E28="Apex Office Supplies",E28="Apex Office Supply Ltd"),"Apex Office Supplies",IF(OR(E28="Northstar IT Services",E28="North Star IT Svc"),"Northstar IT Services",IF(OR(E28="Metro Logistics",E28="Metro Logistics Pvt Ltd"),"Metro Logistics",E28)))</f>
        <v/>
      </c>
      <c r="O28" s="7">
        <f>IF(AND(ISNUMBER(L28),L28&gt;0),"Valid","Review")</f>
        <v/>
      </c>
      <c r="P28" s="7">
        <f>IF(OR(E28="",F28="",NOT(ISNUMBER(L28))),"Check Missing/Invalid Data","OK")</f>
        <v/>
      </c>
    </row>
    <row r="29">
      <c r="A29" s="7" t="inlineStr">
        <is>
          <t>PO-00126</t>
        </is>
      </c>
      <c r="B29" s="9" t="n">
        <v>45677</v>
      </c>
      <c r="C29" s="7" t="inlineStr">
        <is>
          <t>Goods Receipt</t>
        </is>
      </c>
      <c r="D29" s="7" t="inlineStr">
        <is>
          <t>SUP005</t>
        </is>
      </c>
      <c r="E29" s="7">
        <f>IF(E29="","Unknown Supplier",TRIM(E29))</f>
        <v/>
      </c>
      <c r="F29" s="7">
        <f>IF(F29="","Unclassified",TRIM(F29))</f>
        <v/>
      </c>
      <c r="G29" s="7" t="inlineStr">
        <is>
          <t>Freight services</t>
        </is>
      </c>
      <c r="H29" s="7" t="inlineStr">
        <is>
          <t>Sales</t>
        </is>
      </c>
      <c r="I29" s="7" t="inlineStr">
        <is>
          <t>West</t>
        </is>
      </c>
      <c r="J29" s="7" t="n">
        <v>31</v>
      </c>
      <c r="K29" s="7" t="n">
        <v>120.44</v>
      </c>
      <c r="L29" s="7" t="n">
        <v>3733.6</v>
      </c>
      <c r="M29" s="7" t="inlineStr">
        <is>
          <t>Pending</t>
        </is>
      </c>
      <c r="N29" s="7">
        <f>IF(OR(E29="Apex Office Supplies",E29="Apex Office Supply Ltd"),"Apex Office Supplies",IF(OR(E29="Northstar IT Services",E29="North Star IT Svc"),"Northstar IT Services",IF(OR(E29="Metro Logistics",E29="Metro Logistics Pvt Ltd"),"Metro Logistics",E29)))</f>
        <v/>
      </c>
      <c r="O29" s="7">
        <f>IF(AND(ISNUMBER(L29),L29&gt;0),"Valid","Review")</f>
        <v/>
      </c>
      <c r="P29" s="7">
        <f>IF(OR(E29="",F29="",NOT(ISNUMBER(L29))),"Check Missing/Invalid Data","OK")</f>
        <v/>
      </c>
    </row>
    <row r="30">
      <c r="A30" s="7" t="inlineStr">
        <is>
          <t>PO-00472</t>
        </is>
      </c>
      <c r="B30" s="9" t="n">
        <v>45678</v>
      </c>
      <c r="C30" s="7" t="inlineStr">
        <is>
          <t>Goods Receipt</t>
        </is>
      </c>
      <c r="D30" s="7" t="inlineStr">
        <is>
          <t>SUP007</t>
        </is>
      </c>
      <c r="E30" s="7">
        <f>IF(E30="","Unknown Supplier",TRIM(E30))</f>
        <v/>
      </c>
      <c r="F30" s="7">
        <f>IF(F30="","Unclassified",TRIM(F30))</f>
        <v/>
      </c>
      <c r="G30" s="7" t="inlineStr">
        <is>
          <t>Facility maintenance</t>
        </is>
      </c>
      <c r="H30" s="7" t="inlineStr">
        <is>
          <t>Corporate</t>
        </is>
      </c>
      <c r="I30" s="7" t="inlineStr">
        <is>
          <t>East</t>
        </is>
      </c>
      <c r="J30" s="7" t="n">
        <v>21</v>
      </c>
      <c r="K30" s="7" t="n">
        <v>230.7</v>
      </c>
      <c r="L30" s="7" t="n">
        <v>4844.6</v>
      </c>
      <c r="M30" s="7" t="inlineStr">
        <is>
          <t>Pending</t>
        </is>
      </c>
      <c r="N30" s="7">
        <f>IF(OR(E30="Apex Office Supplies",E30="Apex Office Supply Ltd"),"Apex Office Supplies",IF(OR(E30="Northstar IT Services",E30="North Star IT Svc"),"Northstar IT Services",IF(OR(E30="Metro Logistics",E30="Metro Logistics Pvt Ltd"),"Metro Logistics",E30)))</f>
        <v/>
      </c>
      <c r="O30" s="7">
        <f>IF(AND(ISNUMBER(L30),L30&gt;0),"Valid","Review")</f>
        <v/>
      </c>
      <c r="P30" s="7">
        <f>IF(OR(E30="",F30="",NOT(ISNUMBER(L30))),"Check Missing/Invalid Data","OK")</f>
        <v/>
      </c>
    </row>
    <row r="31">
      <c r="A31" s="7" t="inlineStr">
        <is>
          <t>PO-00218</t>
        </is>
      </c>
      <c r="B31" s="9" t="n">
        <v>45678</v>
      </c>
      <c r="C31" s="7" t="inlineStr">
        <is>
          <t>Invoice</t>
        </is>
      </c>
      <c r="D31" s="7" t="inlineStr">
        <is>
          <t>SUP001</t>
        </is>
      </c>
      <c r="E31" s="7">
        <f>IF(E31="","Unknown Supplier",TRIM(E31))</f>
        <v/>
      </c>
      <c r="F31" s="7">
        <f>IF(F31="","Unclassified",TRIM(F31))</f>
        <v/>
      </c>
      <c r="G31" s="7" t="inlineStr">
        <is>
          <t>Business consulting</t>
        </is>
      </c>
      <c r="H31" s="7" t="inlineStr">
        <is>
          <t>Manufacturing</t>
        </is>
      </c>
      <c r="I31" s="7" t="inlineStr">
        <is>
          <t>South</t>
        </is>
      </c>
      <c r="J31" s="7" t="n">
        <v>67</v>
      </c>
      <c r="K31" s="7" t="n">
        <v>367.78</v>
      </c>
      <c r="L31" s="7" t="n">
        <v>24641.35</v>
      </c>
      <c r="M31" s="7" t="inlineStr">
        <is>
          <t>Pending</t>
        </is>
      </c>
      <c r="N31" s="7">
        <f>IF(OR(E31="Apex Office Supplies",E31="Apex Office Supply Ltd"),"Apex Office Supplies",IF(OR(E31="Northstar IT Services",E31="North Star IT Svc"),"Northstar IT Services",IF(OR(E31="Metro Logistics",E31="Metro Logistics Pvt Ltd"),"Metro Logistics",E31)))</f>
        <v/>
      </c>
      <c r="O31" s="7">
        <f>IF(AND(ISNUMBER(L31),L31&gt;0),"Valid","Review")</f>
        <v/>
      </c>
      <c r="P31" s="7">
        <f>IF(OR(E31="",F31="",NOT(ISNUMBER(L31))),"Check Missing/Invalid Data","OK")</f>
        <v/>
      </c>
    </row>
    <row r="32">
      <c r="A32" s="7" t="inlineStr">
        <is>
          <t>PO-00572</t>
        </is>
      </c>
      <c r="B32" s="9" t="n">
        <v>45679</v>
      </c>
      <c r="C32" s="7" t="inlineStr">
        <is>
          <t>Invoice</t>
        </is>
      </c>
      <c r="D32" s="7" t="inlineStr">
        <is>
          <t>SUP012</t>
        </is>
      </c>
      <c r="E32" s="7">
        <f>IF(E32="","Unknown Supplier",TRIM(E32))</f>
        <v/>
      </c>
      <c r="F32" s="7">
        <f>IF(F32="","Unclassified",TRIM(F32))</f>
        <v/>
      </c>
      <c r="G32" s="7" t="inlineStr">
        <is>
          <t>Tools and supplies</t>
        </is>
      </c>
      <c r="H32" s="7" t="inlineStr">
        <is>
          <t>Technology</t>
        </is>
      </c>
      <c r="I32" s="7" t="inlineStr">
        <is>
          <t>South</t>
        </is>
      </c>
      <c r="J32" s="7" t="n">
        <v>33</v>
      </c>
      <c r="K32" s="7" t="n">
        <v>285.88</v>
      </c>
      <c r="L32" s="7" t="n">
        <v>9434.16</v>
      </c>
      <c r="M32" s="7" t="inlineStr">
        <is>
          <t>Pending</t>
        </is>
      </c>
      <c r="N32" s="7">
        <f>IF(OR(E32="Apex Office Supplies",E32="Apex Office Supply Ltd"),"Apex Office Supplies",IF(OR(E32="Northstar IT Services",E32="North Star IT Svc"),"Northstar IT Services",IF(OR(E32="Metro Logistics",E32="Metro Logistics Pvt Ltd"),"Metro Logistics",E32)))</f>
        <v/>
      </c>
      <c r="O32" s="7">
        <f>IF(AND(ISNUMBER(L32),L32&gt;0),"Valid","Review")</f>
        <v/>
      </c>
      <c r="P32" s="7">
        <f>IF(OR(E32="",F32="",NOT(ISNUMBER(L32))),"Check Missing/Invalid Data","OK")</f>
        <v/>
      </c>
    </row>
    <row r="33">
      <c r="A33" s="7" t="inlineStr">
        <is>
          <t>PO-00206</t>
        </is>
      </c>
      <c r="B33" s="9" t="n">
        <v>45679</v>
      </c>
      <c r="C33" s="7" t="inlineStr">
        <is>
          <t>Goods Receipt</t>
        </is>
      </c>
      <c r="D33" s="7" t="inlineStr">
        <is>
          <t>SUP001</t>
        </is>
      </c>
      <c r="E33" s="7">
        <f>IF(E33="","Unknown Supplier",TRIM(E33))</f>
        <v/>
      </c>
      <c r="F33" s="7">
        <f>IF(F33="","Unclassified",TRIM(F33))</f>
        <v/>
      </c>
      <c r="G33" s="7" t="inlineStr">
        <is>
          <t>Pens and stationery</t>
        </is>
      </c>
      <c r="H33" s="7" t="inlineStr">
        <is>
          <t>Operations</t>
        </is>
      </c>
      <c r="I33" s="7" t="inlineStr">
        <is>
          <t>West</t>
        </is>
      </c>
      <c r="J33" s="7" t="n">
        <v>99</v>
      </c>
      <c r="K33" s="7" t="n">
        <v>172.53</v>
      </c>
      <c r="L33" s="7" t="n">
        <v>17080.02</v>
      </c>
      <c r="M33" s="7" t="inlineStr">
        <is>
          <t>Overdue</t>
        </is>
      </c>
      <c r="N33" s="7">
        <f>IF(OR(E33="Apex Office Supplies",E33="Apex Office Supply Ltd"),"Apex Office Supplies",IF(OR(E33="Northstar IT Services",E33="North Star IT Svc"),"Northstar IT Services",IF(OR(E33="Metro Logistics",E33="Metro Logistics Pvt Ltd"),"Metro Logistics",E33)))</f>
        <v/>
      </c>
      <c r="O33" s="7">
        <f>IF(AND(ISNUMBER(L33),L33&gt;0),"Valid","Review")</f>
        <v/>
      </c>
      <c r="P33" s="7">
        <f>IF(OR(E33="",F33="",NOT(ISNUMBER(L33))),"Check Missing/Invalid Data","OK")</f>
        <v/>
      </c>
    </row>
    <row r="34">
      <c r="A34" s="7" t="inlineStr">
        <is>
          <t>PO-00394</t>
        </is>
      </c>
      <c r="B34" s="9" t="n">
        <v>45680</v>
      </c>
      <c r="C34" s="7" t="inlineStr">
        <is>
          <t>Invoice</t>
        </is>
      </c>
      <c r="D34" s="7" t="inlineStr">
        <is>
          <t>SUP005</t>
        </is>
      </c>
      <c r="E34" s="7">
        <f>IF(E34="","Unknown Supplier",TRIM(E34))</f>
        <v/>
      </c>
      <c r="F34" s="7">
        <f>IF(F34="","Unclassified",TRIM(F34))</f>
        <v/>
      </c>
      <c r="G34" s="7" t="inlineStr">
        <is>
          <t>Warehouse handling</t>
        </is>
      </c>
      <c r="H34" s="7" t="inlineStr">
        <is>
          <t>Corporate</t>
        </is>
      </c>
      <c r="I34" s="7" t="inlineStr">
        <is>
          <t>South</t>
        </is>
      </c>
      <c r="J34" s="7" t="n">
        <v>108</v>
      </c>
      <c r="K34" s="7" t="n">
        <v>76.02</v>
      </c>
      <c r="L34" s="7" t="n">
        <v>8210.33</v>
      </c>
      <c r="M34" s="7" t="inlineStr">
        <is>
          <t>Overdue</t>
        </is>
      </c>
      <c r="N34" s="7">
        <f>IF(OR(E34="Apex Office Supplies",E34="Apex Office Supply Ltd"),"Apex Office Supplies",IF(OR(E34="Northstar IT Services",E34="North Star IT Svc"),"Northstar IT Services",IF(OR(E34="Metro Logistics",E34="Metro Logistics Pvt Ltd"),"Metro Logistics",E34)))</f>
        <v/>
      </c>
      <c r="O34" s="7">
        <f>IF(AND(ISNUMBER(L34),L34&gt;0),"Valid","Review")</f>
        <v/>
      </c>
      <c r="P34" s="7">
        <f>IF(OR(E34="",F34="",NOT(ISNUMBER(L34))),"Check Missing/Invalid Data","OK")</f>
        <v/>
      </c>
    </row>
    <row r="35">
      <c r="A35" s="7" t="inlineStr">
        <is>
          <t>PO-00516</t>
        </is>
      </c>
      <c r="B35" s="9" t="n">
        <v>45680</v>
      </c>
      <c r="C35" s="7" t="inlineStr">
        <is>
          <t>Invoice</t>
        </is>
      </c>
      <c r="D35" s="7" t="inlineStr">
        <is>
          <t>SUP012</t>
        </is>
      </c>
      <c r="E35" s="7">
        <f>IF(E35="","Unknown Supplier",TRIM(E35))</f>
        <v/>
      </c>
      <c r="F35" s="7">
        <f>IF(F35="","Unclassified",TRIM(F35))</f>
        <v/>
      </c>
      <c r="G35" s="7" t="inlineStr">
        <is>
          <t>Equipment servicing</t>
        </is>
      </c>
      <c r="H35" s="7" t="inlineStr">
        <is>
          <t>Technology</t>
        </is>
      </c>
      <c r="I35" s="7" t="inlineStr">
        <is>
          <t>North</t>
        </is>
      </c>
      <c r="J35" s="7" t="n">
        <v>103</v>
      </c>
      <c r="K35" s="7" t="n">
        <v>41</v>
      </c>
      <c r="L35" s="7" t="n">
        <v>4223.21</v>
      </c>
      <c r="M35" s="7" t="inlineStr">
        <is>
          <t>Pending</t>
        </is>
      </c>
      <c r="N35" s="7">
        <f>IF(OR(E35="Apex Office Supplies",E35="Apex Office Supply Ltd"),"Apex Office Supplies",IF(OR(E35="Northstar IT Services",E35="North Star IT Svc"),"Northstar IT Services",IF(OR(E35="Metro Logistics",E35="Metro Logistics Pvt Ltd"),"Metro Logistics",E35)))</f>
        <v/>
      </c>
      <c r="O35" s="7">
        <f>IF(AND(ISNUMBER(L35),L35&gt;0),"Valid","Review")</f>
        <v/>
      </c>
      <c r="P35" s="7">
        <f>IF(OR(E35="",F35="",NOT(ISNUMBER(L35))),"Check Missing/Invalid Data","OK")</f>
        <v/>
      </c>
    </row>
    <row r="36">
      <c r="A36" s="7" t="inlineStr">
        <is>
          <t>PO-00509</t>
        </is>
      </c>
      <c r="B36" s="9" t="n">
        <v>45680</v>
      </c>
      <c r="C36" s="7" t="inlineStr">
        <is>
          <t>Goods Receipt</t>
        </is>
      </c>
      <c r="D36" s="7" t="inlineStr">
        <is>
          <t>SUP003</t>
        </is>
      </c>
      <c r="E36" s="7">
        <f>IF(E36="","Unknown Supplier",TRIM(E36))</f>
        <v/>
      </c>
      <c r="F36" s="7">
        <f>IF(F36="","Unclassified",TRIM(F36))</f>
        <v/>
      </c>
      <c r="G36" s="7" t="inlineStr">
        <is>
          <t>Software support</t>
        </is>
      </c>
      <c r="H36" s="7" t="inlineStr">
        <is>
          <t>Manufacturing</t>
        </is>
      </c>
      <c r="I36" s="7" t="inlineStr">
        <is>
          <t>South</t>
        </is>
      </c>
      <c r="J36" s="7" t="n">
        <v>81</v>
      </c>
      <c r="K36" s="7" t="n">
        <v>62.98</v>
      </c>
      <c r="L36" s="7" t="n">
        <v>5101.68</v>
      </c>
      <c r="M36" s="7" t="inlineStr">
        <is>
          <t>Paid</t>
        </is>
      </c>
      <c r="N36" s="7">
        <f>IF(OR(E36="Apex Office Supplies",E36="Apex Office Supply Ltd"),"Apex Office Supplies",IF(OR(E36="Northstar IT Services",E36="North Star IT Svc"),"Northstar IT Services",IF(OR(E36="Metro Logistics",E36="Metro Logistics Pvt Ltd"),"Metro Logistics",E36)))</f>
        <v/>
      </c>
      <c r="O36" s="7">
        <f>IF(AND(ISNUMBER(L36),L36&gt;0),"Valid","Review")</f>
        <v/>
      </c>
      <c r="P36" s="7">
        <f>IF(OR(E36="",F36="",NOT(ISNUMBER(L36))),"Check Missing/Invalid Data","OK")</f>
        <v/>
      </c>
    </row>
    <row r="37">
      <c r="A37" s="7" t="inlineStr">
        <is>
          <t>PO-00479</t>
        </is>
      </c>
      <c r="B37" s="9" t="n">
        <v>45680</v>
      </c>
      <c r="C37" s="7" t="inlineStr">
        <is>
          <t>Purchase Order</t>
        </is>
      </c>
      <c r="D37" s="7" t="inlineStr">
        <is>
          <t>SUP005</t>
        </is>
      </c>
      <c r="E37" s="7">
        <f>IF(E37="","Unknown Supplier",TRIM(E37))</f>
        <v/>
      </c>
      <c r="F37" s="7">
        <f>IF(F37="","Unclassified",TRIM(F37))</f>
        <v/>
      </c>
      <c r="G37" s="7" t="inlineStr">
        <is>
          <t>Freight services</t>
        </is>
      </c>
      <c r="H37" s="7" t="inlineStr">
        <is>
          <t>Operations</t>
        </is>
      </c>
      <c r="I37" s="7" t="inlineStr">
        <is>
          <t>North</t>
        </is>
      </c>
      <c r="J37" s="7" t="n">
        <v>66</v>
      </c>
      <c r="K37" s="7" t="n">
        <v>91.75</v>
      </c>
      <c r="L37" s="7" t="n">
        <v>6055.61</v>
      </c>
      <c r="M37" s="7" t="inlineStr">
        <is>
          <t>Overdue</t>
        </is>
      </c>
      <c r="N37" s="7">
        <f>IF(OR(E37="Apex Office Supplies",E37="Apex Office Supply Ltd"),"Apex Office Supplies",IF(OR(E37="Northstar IT Services",E37="North Star IT Svc"),"Northstar IT Services",IF(OR(E37="Metro Logistics",E37="Metro Logistics Pvt Ltd"),"Metro Logistics",E37)))</f>
        <v/>
      </c>
      <c r="O37" s="7">
        <f>IF(AND(ISNUMBER(L37),L37&gt;0),"Valid","Review")</f>
        <v/>
      </c>
      <c r="P37" s="7">
        <f>IF(OR(E37="",F37="",NOT(ISNUMBER(L37))),"Check Missing/Invalid Data","OK")</f>
        <v/>
      </c>
    </row>
    <row r="38">
      <c r="A38" s="7" t="inlineStr">
        <is>
          <t>PO-00187</t>
        </is>
      </c>
      <c r="B38" s="9" t="n">
        <v>45682</v>
      </c>
      <c r="C38" s="7" t="inlineStr">
        <is>
          <t>Invoice</t>
        </is>
      </c>
      <c r="D38" s="7" t="inlineStr">
        <is>
          <t>SUP011</t>
        </is>
      </c>
      <c r="E38" s="7">
        <f>IF(E38="","Unknown Supplier",TRIM(E38))</f>
        <v/>
      </c>
      <c r="F38" s="7">
        <f>IF(F38="","Unclassified",TRIM(F38))</f>
        <v/>
      </c>
      <c r="G38" s="7" t="inlineStr">
        <is>
          <t>Print advertising</t>
        </is>
      </c>
      <c r="H38" s="7" t="inlineStr">
        <is>
          <t>Sales</t>
        </is>
      </c>
      <c r="I38" s="7" t="inlineStr">
        <is>
          <t>West</t>
        </is>
      </c>
      <c r="J38" s="7" t="n">
        <v>48</v>
      </c>
      <c r="K38" s="7" t="n">
        <v>48.87</v>
      </c>
      <c r="L38" s="7" t="n">
        <v>2345.61</v>
      </c>
      <c r="M38" s="7" t="inlineStr">
        <is>
          <t>Pending</t>
        </is>
      </c>
      <c r="N38" s="7">
        <f>IF(OR(E38="Apex Office Supplies",E38="Apex Office Supply Ltd"),"Apex Office Supplies",IF(OR(E38="Northstar IT Services",E38="North Star IT Svc"),"Northstar IT Services",IF(OR(E38="Metro Logistics",E38="Metro Logistics Pvt Ltd"),"Metro Logistics",E38)))</f>
        <v/>
      </c>
      <c r="O38" s="7">
        <f>IF(AND(ISNUMBER(L38),L38&gt;0),"Valid","Review")</f>
        <v/>
      </c>
      <c r="P38" s="7">
        <f>IF(OR(E38="",F38="",NOT(ISNUMBER(L38))),"Check Missing/Invalid Data","OK")</f>
        <v/>
      </c>
    </row>
    <row r="39">
      <c r="A39" s="7" t="inlineStr">
        <is>
          <t>PO-00211</t>
        </is>
      </c>
      <c r="B39" s="9" t="n">
        <v>45683</v>
      </c>
      <c r="C39" s="7" t="inlineStr">
        <is>
          <t>Purchase Order</t>
        </is>
      </c>
      <c r="D39" s="7" t="inlineStr">
        <is>
          <t>SUP005</t>
        </is>
      </c>
      <c r="E39" s="7">
        <f>IF(E39="","Unknown Supplier",TRIM(E39))</f>
        <v/>
      </c>
      <c r="F39" s="7">
        <f>IF(F39="","Unclassified",TRIM(F39))</f>
        <v/>
      </c>
      <c r="G39" s="7" t="inlineStr">
        <is>
          <t>Freight services</t>
        </is>
      </c>
      <c r="H39" s="7" t="inlineStr">
        <is>
          <t>Technology</t>
        </is>
      </c>
      <c r="I39" s="7" t="inlineStr">
        <is>
          <t>East</t>
        </is>
      </c>
      <c r="J39" s="7" t="n">
        <v>54</v>
      </c>
      <c r="K39" s="7" t="n">
        <v>490.21</v>
      </c>
      <c r="L39" s="7" t="n">
        <v>26471.12</v>
      </c>
      <c r="M39" s="7" t="inlineStr">
        <is>
          <t>Paid</t>
        </is>
      </c>
      <c r="N39" s="7">
        <f>IF(OR(E39="Apex Office Supplies",E39="Apex Office Supply Ltd"),"Apex Office Supplies",IF(OR(E39="Northstar IT Services",E39="North Star IT Svc"),"Northstar IT Services",IF(OR(E39="Metro Logistics",E39="Metro Logistics Pvt Ltd"),"Metro Logistics",E39)))</f>
        <v/>
      </c>
      <c r="O39" s="7">
        <f>IF(AND(ISNUMBER(L39),L39&gt;0),"Valid","Review")</f>
        <v/>
      </c>
      <c r="P39" s="7">
        <f>IF(OR(E39="",F39="",NOT(ISNUMBER(L39))),"Check Missing/Invalid Data","OK")</f>
        <v/>
      </c>
    </row>
    <row r="40">
      <c r="A40" s="7" t="inlineStr">
        <is>
          <t>PO-00600</t>
        </is>
      </c>
      <c r="B40" s="9" t="n">
        <v>45683</v>
      </c>
      <c r="C40" s="7" t="inlineStr">
        <is>
          <t>Goods Receipt</t>
        </is>
      </c>
      <c r="D40" s="7" t="inlineStr">
        <is>
          <t>SUP011</t>
        </is>
      </c>
      <c r="E40" s="7">
        <f>IF(E40="","Unknown Supplier",TRIM(E40))</f>
        <v/>
      </c>
      <c r="F40" s="7">
        <f>IF(F40="","Unclassified",TRIM(F40))</f>
        <v/>
      </c>
      <c r="G40" s="7" t="inlineStr">
        <is>
          <t>Promotional materials</t>
        </is>
      </c>
      <c r="H40" s="7" t="inlineStr">
        <is>
          <t>Manufacturing</t>
        </is>
      </c>
      <c r="I40" s="7" t="inlineStr">
        <is>
          <t>North</t>
        </is>
      </c>
      <c r="J40" s="7" t="n">
        <v>58</v>
      </c>
      <c r="K40" s="7" t="n">
        <v>123.19</v>
      </c>
      <c r="L40" s="7" t="n">
        <v>7144.74</v>
      </c>
      <c r="M40" s="7" t="inlineStr">
        <is>
          <t>Paid</t>
        </is>
      </c>
      <c r="N40" s="7">
        <f>IF(OR(E40="Apex Office Supplies",E40="Apex Office Supply Ltd"),"Apex Office Supplies",IF(OR(E40="Northstar IT Services",E40="North Star IT Svc"),"Northstar IT Services",IF(OR(E40="Metro Logistics",E40="Metro Logistics Pvt Ltd"),"Metro Logistics",E40)))</f>
        <v/>
      </c>
      <c r="O40" s="7">
        <f>IF(AND(ISNUMBER(L40),L40&gt;0),"Valid","Review")</f>
        <v/>
      </c>
      <c r="P40" s="7">
        <f>IF(OR(E40="",F40="",NOT(ISNUMBER(L40))),"Check Missing/Invalid Data","OK")</f>
        <v/>
      </c>
    </row>
    <row r="41">
      <c r="A41" s="7" t="inlineStr">
        <is>
          <t>PO-00573</t>
        </is>
      </c>
      <c r="B41" s="9" t="n">
        <v>45684</v>
      </c>
      <c r="C41" s="7" t="inlineStr">
        <is>
          <t>Invoice</t>
        </is>
      </c>
      <c r="D41" s="7" t="inlineStr">
        <is>
          <t>SUP011</t>
        </is>
      </c>
      <c r="E41" s="7">
        <f>IF(E41="","Unknown Supplier",TRIM(E41))</f>
        <v/>
      </c>
      <c r="F41" s="7">
        <f>IF(F41="","Unclassified",TRIM(F41))</f>
        <v/>
      </c>
      <c r="G41" s="7" t="inlineStr">
        <is>
          <t>Print advertising</t>
        </is>
      </c>
      <c r="H41" s="7" t="inlineStr">
        <is>
          <t>Corporate</t>
        </is>
      </c>
      <c r="I41" s="7" t="inlineStr">
        <is>
          <t>South</t>
        </is>
      </c>
      <c r="J41" s="7" t="n">
        <v>82</v>
      </c>
      <c r="K41" s="7" t="n">
        <v>26.09</v>
      </c>
      <c r="L41" s="7" t="n">
        <v>2139.16</v>
      </c>
      <c r="M41" s="7" t="inlineStr">
        <is>
          <t>Pending</t>
        </is>
      </c>
      <c r="N41" s="7">
        <f>IF(OR(E41="Apex Office Supplies",E41="Apex Office Supply Ltd"),"Apex Office Supplies",IF(OR(E41="Northstar IT Services",E41="North Star IT Svc"),"Northstar IT Services",IF(OR(E41="Metro Logistics",E41="Metro Logistics Pvt Ltd"),"Metro Logistics",E41)))</f>
        <v/>
      </c>
      <c r="O41" s="7">
        <f>IF(AND(ISNUMBER(L41),L41&gt;0),"Valid","Review")</f>
        <v/>
      </c>
      <c r="P41" s="7">
        <f>IF(OR(E41="",F41="",NOT(ISNUMBER(L41))),"Check Missing/Invalid Data","OK")</f>
        <v/>
      </c>
    </row>
    <row r="42">
      <c r="A42" s="7" t="inlineStr">
        <is>
          <t>PO-00425</t>
        </is>
      </c>
      <c r="B42" s="9" t="n">
        <v>45685</v>
      </c>
      <c r="C42" s="7" t="inlineStr">
        <is>
          <t>Goods Receipt</t>
        </is>
      </c>
      <c r="D42" s="7" t="inlineStr">
        <is>
          <t>SUP003</t>
        </is>
      </c>
      <c r="E42" s="7">
        <f>IF(E42="","Unknown Supplier",TRIM(E42))</f>
        <v/>
      </c>
      <c r="F42" s="7">
        <f>IF(F42="","Unclassified",TRIM(F42))</f>
        <v/>
      </c>
      <c r="G42" s="7" t="inlineStr">
        <is>
          <t>Cloud services</t>
        </is>
      </c>
      <c r="H42" s="7" t="inlineStr">
        <is>
          <t>Operations</t>
        </is>
      </c>
      <c r="I42" s="7" t="inlineStr">
        <is>
          <t>East</t>
        </is>
      </c>
      <c r="J42" s="7" t="n">
        <v>53</v>
      </c>
      <c r="K42" s="7" t="n">
        <v>118.72</v>
      </c>
      <c r="L42" s="7" t="n">
        <v>6292.22</v>
      </c>
      <c r="M42" s="7" t="inlineStr">
        <is>
          <t>Overdue</t>
        </is>
      </c>
      <c r="N42" s="7">
        <f>IF(OR(E42="Apex Office Supplies",E42="Apex Office Supply Ltd"),"Apex Office Supplies",IF(OR(E42="Northstar IT Services",E42="North Star IT Svc"),"Northstar IT Services",IF(OR(E42="Metro Logistics",E42="Metro Logistics Pvt Ltd"),"Metro Logistics",E42)))</f>
        <v/>
      </c>
      <c r="O42" s="7">
        <f>IF(AND(ISNUMBER(L42),L42&gt;0),"Valid","Review")</f>
        <v/>
      </c>
      <c r="P42" s="7">
        <f>IF(OR(E42="",F42="",NOT(ISNUMBER(L42))),"Check Missing/Invalid Data","OK")</f>
        <v/>
      </c>
    </row>
    <row r="43">
      <c r="A43" s="7" t="inlineStr">
        <is>
          <t>PO-00470</t>
        </is>
      </c>
      <c r="B43" s="9" t="n">
        <v>45685</v>
      </c>
      <c r="C43" s="7" t="inlineStr">
        <is>
          <t>Invoice</t>
        </is>
      </c>
      <c r="D43" s="7" t="inlineStr">
        <is>
          <t>SUP001</t>
        </is>
      </c>
      <c r="E43" s="7">
        <f>IF(E43="","Unknown Supplier",TRIM(E43))</f>
        <v/>
      </c>
      <c r="F43" s="7">
        <f>IF(F43="","Unclassified",TRIM(F43))</f>
        <v/>
      </c>
      <c r="G43" s="7" t="inlineStr">
        <is>
          <t>Printer paper</t>
        </is>
      </c>
      <c r="H43" s="7" t="inlineStr">
        <is>
          <t>Technology</t>
        </is>
      </c>
      <c r="I43" s="7" t="inlineStr">
        <is>
          <t>South</t>
        </is>
      </c>
      <c r="J43" s="7" t="n">
        <v>112</v>
      </c>
      <c r="K43" s="7" t="n">
        <v>33.49</v>
      </c>
      <c r="L43" s="7" t="n">
        <v>3751.2</v>
      </c>
      <c r="M43" s="7" t="inlineStr">
        <is>
          <t>Overdue</t>
        </is>
      </c>
      <c r="N43" s="7">
        <f>IF(OR(E43="Apex Office Supplies",E43="Apex Office Supply Ltd"),"Apex Office Supplies",IF(OR(E43="Northstar IT Services",E43="North Star IT Svc"),"Northstar IT Services",IF(OR(E43="Metro Logistics",E43="Metro Logistics Pvt Ltd"),"Metro Logistics",E43)))</f>
        <v/>
      </c>
      <c r="O43" s="7">
        <f>IF(AND(ISNUMBER(L43),L43&gt;0),"Valid","Review")</f>
        <v/>
      </c>
      <c r="P43" s="7">
        <f>IF(OR(E43="",F43="",NOT(ISNUMBER(L43))),"Check Missing/Invalid Data","OK")</f>
        <v/>
      </c>
    </row>
    <row r="44">
      <c r="A44" s="7" t="inlineStr">
        <is>
          <t>PO-00389</t>
        </is>
      </c>
      <c r="B44" s="9" t="n">
        <v>45685</v>
      </c>
      <c r="C44" s="7" t="inlineStr">
        <is>
          <t>Goods Receipt</t>
        </is>
      </c>
      <c r="D44" s="7" t="inlineStr">
        <is>
          <t>SUP002</t>
        </is>
      </c>
      <c r="E44" s="7">
        <f>IF(E44="","Unknown Supplier",TRIM(E44))</f>
        <v/>
      </c>
      <c r="F44" s="7">
        <f>IF(F44="","Unclassified",TRIM(F44))</f>
        <v/>
      </c>
      <c r="G44" s="7" t="inlineStr">
        <is>
          <t>Toner cartridges</t>
        </is>
      </c>
      <c r="H44" s="7" t="inlineStr">
        <is>
          <t>Manufacturing</t>
        </is>
      </c>
      <c r="I44" s="7" t="inlineStr">
        <is>
          <t>East</t>
        </is>
      </c>
      <c r="J44" s="7" t="n">
        <v>53</v>
      </c>
      <c r="K44" s="7" t="n">
        <v>330.99</v>
      </c>
      <c r="L44" s="7" t="n">
        <v>17542.24</v>
      </c>
      <c r="M44" s="7" t="inlineStr">
        <is>
          <t>Overdue</t>
        </is>
      </c>
      <c r="N44" s="7">
        <f>IF(OR(E44="Apex Office Supplies",E44="Apex Office Supply Ltd"),"Apex Office Supplies",IF(OR(E44="Northstar IT Services",E44="North Star IT Svc"),"Northstar IT Services",IF(OR(E44="Metro Logistics",E44="Metro Logistics Pvt Ltd"),"Metro Logistics",E44)))</f>
        <v/>
      </c>
      <c r="O44" s="7">
        <f>IF(AND(ISNUMBER(L44),L44&gt;0),"Valid","Review")</f>
        <v/>
      </c>
      <c r="P44" s="7">
        <f>IF(OR(E44="",F44="",NOT(ISNUMBER(L44))),"Check Missing/Invalid Data","OK")</f>
        <v/>
      </c>
    </row>
    <row r="45">
      <c r="A45" s="7" t="inlineStr">
        <is>
          <t>PO-00598</t>
        </is>
      </c>
      <c r="B45" s="9" t="n">
        <v>45686</v>
      </c>
      <c r="C45" s="7" t="inlineStr">
        <is>
          <t>Purchase Order</t>
        </is>
      </c>
      <c r="D45" s="7" t="inlineStr">
        <is>
          <t>SUP006</t>
        </is>
      </c>
      <c r="E45" s="7">
        <f>IF(E45="","Unknown Supplier",TRIM(E45))</f>
        <v/>
      </c>
      <c r="F45" s="7">
        <f>IF(F45="","Unclassified",TRIM(F45))</f>
        <v/>
      </c>
      <c r="G45" s="7" t="inlineStr">
        <is>
          <t>Freight services</t>
        </is>
      </c>
      <c r="H45" s="7" t="inlineStr">
        <is>
          <t>Manufacturing</t>
        </is>
      </c>
      <c r="I45" s="7" t="inlineStr">
        <is>
          <t>North</t>
        </is>
      </c>
      <c r="J45" s="7" t="n">
        <v>54</v>
      </c>
      <c r="K45" s="7" t="n">
        <v>463.74</v>
      </c>
      <c r="L45" s="7" t="n">
        <v>25041.84</v>
      </c>
      <c r="M45" s="7" t="inlineStr">
        <is>
          <t>Overdue</t>
        </is>
      </c>
      <c r="N45" s="7">
        <f>IF(OR(E45="Apex Office Supplies",E45="Apex Office Supply Ltd"),"Apex Office Supplies",IF(OR(E45="Northstar IT Services",E45="North Star IT Svc"),"Northstar IT Services",IF(OR(E45="Metro Logistics",E45="Metro Logistics Pvt Ltd"),"Metro Logistics",E45)))</f>
        <v/>
      </c>
      <c r="O45" s="7">
        <f>IF(AND(ISNUMBER(L45),L45&gt;0),"Valid","Review")</f>
        <v/>
      </c>
      <c r="P45" s="7">
        <f>IF(OR(E45="",F45="",NOT(ISNUMBER(L45))),"Check Missing/Invalid Data","OK")</f>
        <v/>
      </c>
    </row>
    <row r="46">
      <c r="A46" s="7" t="inlineStr">
        <is>
          <t>PO-00259</t>
        </is>
      </c>
      <c r="B46" s="9" t="n">
        <v>45687</v>
      </c>
      <c r="C46" s="7" t="inlineStr">
        <is>
          <t>Purchase Order</t>
        </is>
      </c>
      <c r="D46" s="7" t="inlineStr">
        <is>
          <t>SUP009</t>
        </is>
      </c>
      <c r="E46" s="7">
        <f>IF(E46="","Unknown Supplier",TRIM(E46))</f>
        <v/>
      </c>
      <c r="F46" s="7">
        <f>IF(F46="","Unclassified",TRIM(F46))</f>
        <v/>
      </c>
      <c r="G46" s="7" t="inlineStr">
        <is>
          <t>Training services</t>
        </is>
      </c>
      <c r="H46" s="7" t="inlineStr">
        <is>
          <t>Operations</t>
        </is>
      </c>
      <c r="I46" s="7" t="inlineStr">
        <is>
          <t>East</t>
        </is>
      </c>
      <c r="J46" s="7" t="n">
        <v>68</v>
      </c>
      <c r="K46" s="7" t="n">
        <v>189.18</v>
      </c>
      <c r="L46" s="7" t="n">
        <v>12864.17</v>
      </c>
      <c r="M46" s="7" t="inlineStr">
        <is>
          <t>Paid</t>
        </is>
      </c>
      <c r="N46" s="7">
        <f>IF(OR(E46="Apex Office Supplies",E46="Apex Office Supply Ltd"),"Apex Office Supplies",IF(OR(E46="Northstar IT Services",E46="North Star IT Svc"),"Northstar IT Services",IF(OR(E46="Metro Logistics",E46="Metro Logistics Pvt Ltd"),"Metro Logistics",E46)))</f>
        <v/>
      </c>
      <c r="O46" s="7">
        <f>IF(AND(ISNUMBER(L46),L46&gt;0),"Valid","Review")</f>
        <v/>
      </c>
      <c r="P46" s="7">
        <f>IF(OR(E46="",F46="",NOT(ISNUMBER(L46))),"Check Missing/Invalid Data","OK")</f>
        <v/>
      </c>
    </row>
    <row r="47">
      <c r="A47" s="7" t="inlineStr">
        <is>
          <t>PO-00321</t>
        </is>
      </c>
      <c r="B47" s="9" t="n">
        <v>45688</v>
      </c>
      <c r="C47" s="7" t="inlineStr">
        <is>
          <t>Purchase Order</t>
        </is>
      </c>
      <c r="D47" s="7" t="inlineStr">
        <is>
          <t>SUP005</t>
        </is>
      </c>
      <c r="E47" s="7">
        <f>IF(E47="","Unknown Supplier",TRIM(E47))</f>
        <v/>
      </c>
      <c r="F47" s="7">
        <f>IF(F47="","Unclassified",TRIM(F47))</f>
        <v/>
      </c>
      <c r="G47" s="7" t="inlineStr">
        <is>
          <t>Freight services</t>
        </is>
      </c>
      <c r="H47" s="7" t="inlineStr">
        <is>
          <t>Operations</t>
        </is>
      </c>
      <c r="I47" s="7" t="inlineStr">
        <is>
          <t>East</t>
        </is>
      </c>
      <c r="J47" s="7" t="n">
        <v>111</v>
      </c>
      <c r="K47" s="7" t="n">
        <v>36.58</v>
      </c>
      <c r="L47" s="7" t="n">
        <v>4060.89</v>
      </c>
      <c r="M47" s="7" t="inlineStr">
        <is>
          <t>Paid</t>
        </is>
      </c>
      <c r="N47" s="7">
        <f>IF(OR(E47="Apex Office Supplies",E47="Apex Office Supply Ltd"),"Apex Office Supplies",IF(OR(E47="Northstar IT Services",E47="North Star IT Svc"),"Northstar IT Services",IF(OR(E47="Metro Logistics",E47="Metro Logistics Pvt Ltd"),"Metro Logistics",E47)))</f>
        <v/>
      </c>
      <c r="O47" s="7">
        <f>IF(AND(ISNUMBER(L47),L47&gt;0),"Valid","Review")</f>
        <v/>
      </c>
      <c r="P47" s="7">
        <f>IF(OR(E47="",F47="",NOT(ISNUMBER(L47))),"Check Missing/Invalid Data","OK")</f>
        <v/>
      </c>
    </row>
    <row r="48">
      <c r="A48" s="7" t="inlineStr">
        <is>
          <t>PO-00581</t>
        </is>
      </c>
      <c r="B48" s="9" t="n">
        <v>45690</v>
      </c>
      <c r="C48" s="7" t="inlineStr">
        <is>
          <t>Goods Receipt</t>
        </is>
      </c>
      <c r="D48" s="7" t="inlineStr">
        <is>
          <t>SUP011</t>
        </is>
      </c>
      <c r="E48" s="7">
        <f>IF(E48="","Unknown Supplier",TRIM(E48))</f>
        <v/>
      </c>
      <c r="F48" s="7">
        <f>IF(F48="","Unclassified",TRIM(F48))</f>
        <v/>
      </c>
      <c r="G48" s="7" t="inlineStr">
        <is>
          <t>Promotional materials</t>
        </is>
      </c>
      <c r="H48" s="7" t="inlineStr">
        <is>
          <t>Sales</t>
        </is>
      </c>
      <c r="I48" s="7" t="inlineStr">
        <is>
          <t>South</t>
        </is>
      </c>
      <c r="J48" s="7" t="n">
        <v>25</v>
      </c>
      <c r="K48" s="7" t="n">
        <v>590.58</v>
      </c>
      <c r="L48" s="7" t="n">
        <v>14764.61</v>
      </c>
      <c r="M48" s="7" t="inlineStr">
        <is>
          <t>Overdue</t>
        </is>
      </c>
      <c r="N48" s="7">
        <f>IF(OR(E48="Apex Office Supplies",E48="Apex Office Supply Ltd"),"Apex Office Supplies",IF(OR(E48="Northstar IT Services",E48="North Star IT Svc"),"Northstar IT Services",IF(OR(E48="Metro Logistics",E48="Metro Logistics Pvt Ltd"),"Metro Logistics",E48)))</f>
        <v/>
      </c>
      <c r="O48" s="7">
        <f>IF(AND(ISNUMBER(L48),L48&gt;0),"Valid","Review")</f>
        <v/>
      </c>
      <c r="P48" s="7">
        <f>IF(OR(E48="",F48="",NOT(ISNUMBER(L48))),"Check Missing/Invalid Data","OK")</f>
        <v/>
      </c>
    </row>
    <row r="49">
      <c r="A49" s="7" t="inlineStr">
        <is>
          <t>PO-00125</t>
        </is>
      </c>
      <c r="B49" s="9" t="n">
        <v>45690</v>
      </c>
      <c r="C49" s="7" t="inlineStr">
        <is>
          <t>Goods Receipt</t>
        </is>
      </c>
      <c r="D49" s="7" t="inlineStr">
        <is>
          <t>SUP011</t>
        </is>
      </c>
      <c r="E49" s="7">
        <f>IF(E49="","Unknown Supplier",TRIM(E49))</f>
        <v/>
      </c>
      <c r="F49" s="7">
        <f>IF(F49="","Unclassified",TRIM(F49))</f>
        <v/>
      </c>
      <c r="G49" s="7" t="inlineStr">
        <is>
          <t>Print advertising</t>
        </is>
      </c>
      <c r="H49" s="7" t="inlineStr">
        <is>
          <t>Corporate</t>
        </is>
      </c>
      <c r="I49" s="7" t="inlineStr">
        <is>
          <t>South</t>
        </is>
      </c>
      <c r="J49" s="7" t="n">
        <v>39</v>
      </c>
      <c r="K49" s="7" t="n">
        <v>420</v>
      </c>
      <c r="L49" s="7" t="n">
        <v>16379.85</v>
      </c>
      <c r="M49" s="7" t="inlineStr">
        <is>
          <t>Paid</t>
        </is>
      </c>
      <c r="N49" s="7">
        <f>IF(OR(E49="Apex Office Supplies",E49="Apex Office Supply Ltd"),"Apex Office Supplies",IF(OR(E49="Northstar IT Services",E49="North Star IT Svc"),"Northstar IT Services",IF(OR(E49="Metro Logistics",E49="Metro Logistics Pvt Ltd"),"Metro Logistics",E49)))</f>
        <v/>
      </c>
      <c r="O49" s="7">
        <f>IF(AND(ISNUMBER(L49),L49&gt;0),"Valid","Review")</f>
        <v/>
      </c>
      <c r="P49" s="7">
        <f>IF(OR(E49="",F49="",NOT(ISNUMBER(L49))),"Check Missing/Invalid Data","OK")</f>
        <v/>
      </c>
    </row>
    <row r="50">
      <c r="A50" s="7" t="inlineStr">
        <is>
          <t>PO-00480</t>
        </is>
      </c>
      <c r="B50" s="9" t="n">
        <v>45691</v>
      </c>
      <c r="C50" s="7" t="inlineStr">
        <is>
          <t>Goods Receipt</t>
        </is>
      </c>
      <c r="D50" s="7" t="inlineStr">
        <is>
          <t>SUP004</t>
        </is>
      </c>
      <c r="E50" s="7">
        <f>IF(E50="","Unknown Supplier",TRIM(E50))</f>
        <v/>
      </c>
      <c r="F50" s="7">
        <f>IF(F50="","Unclassified",TRIM(F50))</f>
        <v/>
      </c>
      <c r="G50" s="7" t="inlineStr">
        <is>
          <t>Cloud services</t>
        </is>
      </c>
      <c r="H50" s="7" t="inlineStr">
        <is>
          <t>Corporate</t>
        </is>
      </c>
      <c r="I50" s="7" t="inlineStr">
        <is>
          <t>South</t>
        </is>
      </c>
      <c r="J50" s="7" t="n">
        <v>111</v>
      </c>
      <c r="K50" s="7" t="n">
        <v>213.67</v>
      </c>
      <c r="L50" s="7" t="n">
        <v>23717.81</v>
      </c>
      <c r="M50" s="7" t="inlineStr">
        <is>
          <t>Overdue</t>
        </is>
      </c>
      <c r="N50" s="7">
        <f>IF(OR(E50="Apex Office Supplies",E50="Apex Office Supply Ltd"),"Apex Office Supplies",IF(OR(E50="Northstar IT Services",E50="North Star IT Svc"),"Northstar IT Services",IF(OR(E50="Metro Logistics",E50="Metro Logistics Pvt Ltd"),"Metro Logistics",E50)))</f>
        <v/>
      </c>
      <c r="O50" s="7">
        <f>IF(AND(ISNUMBER(L50),L50&gt;0),"Valid","Review")</f>
        <v/>
      </c>
      <c r="P50" s="7">
        <f>IF(OR(E50="",F50="",NOT(ISNUMBER(L50))),"Check Missing/Invalid Data","OK")</f>
        <v/>
      </c>
    </row>
    <row r="51">
      <c r="A51" s="7" t="inlineStr">
        <is>
          <t>PO-00048</t>
        </is>
      </c>
      <c r="B51" s="9" t="n">
        <v>45693</v>
      </c>
      <c r="C51" s="7" t="inlineStr">
        <is>
          <t>Purchase Order</t>
        </is>
      </c>
      <c r="D51" s="7" t="inlineStr">
        <is>
          <t>SUP011</t>
        </is>
      </c>
      <c r="E51" s="7">
        <f>IF(E51="","Unknown Supplier",TRIM(E51))</f>
        <v/>
      </c>
      <c r="F51" s="7">
        <f>IF(F51="","Unclassified",TRIM(F51))</f>
        <v/>
      </c>
      <c r="G51" s="7" t="inlineStr">
        <is>
          <t>Promotional materials</t>
        </is>
      </c>
      <c r="H51" s="7" t="inlineStr">
        <is>
          <t>Technology</t>
        </is>
      </c>
      <c r="I51" s="7" t="inlineStr">
        <is>
          <t>East</t>
        </is>
      </c>
      <c r="J51" s="7" t="n">
        <v>85</v>
      </c>
      <c r="K51" s="7" t="n">
        <v>132.49</v>
      </c>
      <c r="L51" s="7" t="n">
        <v>11262.02</v>
      </c>
      <c r="M51" s="7" t="inlineStr">
        <is>
          <t>Overdue</t>
        </is>
      </c>
      <c r="N51" s="7">
        <f>IF(OR(E51="Apex Office Supplies",E51="Apex Office Supply Ltd"),"Apex Office Supplies",IF(OR(E51="Northstar IT Services",E51="North Star IT Svc"),"Northstar IT Services",IF(OR(E51="Metro Logistics",E51="Metro Logistics Pvt Ltd"),"Metro Logistics",E51)))</f>
        <v/>
      </c>
      <c r="O51" s="7">
        <f>IF(AND(ISNUMBER(L51),L51&gt;0),"Valid","Review")</f>
        <v/>
      </c>
      <c r="P51" s="7">
        <f>IF(OR(E51="",F51="",NOT(ISNUMBER(L51))),"Check Missing/Invalid Data","OK")</f>
        <v/>
      </c>
    </row>
    <row r="52">
      <c r="A52" s="7" t="inlineStr">
        <is>
          <t>PO-00084</t>
        </is>
      </c>
      <c r="B52" s="9" t="n">
        <v>45695</v>
      </c>
      <c r="C52" s="7" t="inlineStr">
        <is>
          <t>Goods Receipt</t>
        </is>
      </c>
      <c r="D52" s="7" t="inlineStr">
        <is>
          <t>SUP010</t>
        </is>
      </c>
      <c r="E52" s="7">
        <f>IF(E52="","Unknown Supplier",TRIM(E52))</f>
        <v/>
      </c>
      <c r="F52" s="7">
        <f>IF(F52="","Unclassified",TRIM(F52))</f>
        <v/>
      </c>
      <c r="G52" s="7" t="inlineStr">
        <is>
          <t>Water services</t>
        </is>
      </c>
      <c r="H52" s="7" t="inlineStr">
        <is>
          <t>Corporate</t>
        </is>
      </c>
      <c r="I52" s="7" t="inlineStr">
        <is>
          <t>South</t>
        </is>
      </c>
      <c r="J52" s="7" t="n">
        <v>20</v>
      </c>
      <c r="K52" s="7" t="n">
        <v>53.93</v>
      </c>
      <c r="L52" s="7" t="n">
        <v>1078.53</v>
      </c>
      <c r="M52" s="7" t="inlineStr">
        <is>
          <t>Paid</t>
        </is>
      </c>
      <c r="N52" s="7">
        <f>IF(OR(E52="Apex Office Supplies",E52="Apex Office Supply Ltd"),"Apex Office Supplies",IF(OR(E52="Northstar IT Services",E52="North Star IT Svc"),"Northstar IT Services",IF(OR(E52="Metro Logistics",E52="Metro Logistics Pvt Ltd"),"Metro Logistics",E52)))</f>
        <v/>
      </c>
      <c r="O52" s="7">
        <f>IF(AND(ISNUMBER(L52),L52&gt;0),"Valid","Review")</f>
        <v/>
      </c>
      <c r="P52" s="7">
        <f>IF(OR(E52="",F52="",NOT(ISNUMBER(L52))),"Check Missing/Invalid Data","OK")</f>
        <v/>
      </c>
    </row>
    <row r="53">
      <c r="A53" s="7" t="inlineStr">
        <is>
          <t>PO-00280</t>
        </is>
      </c>
      <c r="B53" s="9" t="n">
        <v>45698</v>
      </c>
      <c r="C53" s="7" t="inlineStr">
        <is>
          <t>Invoice</t>
        </is>
      </c>
      <c r="D53" s="7" t="inlineStr">
        <is>
          <t>SUP009</t>
        </is>
      </c>
      <c r="E53" s="7">
        <f>IF(E53="","Unknown Supplier",TRIM(E53))</f>
        <v/>
      </c>
      <c r="F53" s="7">
        <f>IF(F53="","Unclassified",TRIM(F53))</f>
        <v/>
      </c>
      <c r="G53" s="7" t="inlineStr">
        <is>
          <t>Business consulting</t>
        </is>
      </c>
      <c r="H53" s="7" t="inlineStr">
        <is>
          <t>Corporate</t>
        </is>
      </c>
      <c r="I53" s="7" t="inlineStr">
        <is>
          <t>East</t>
        </is>
      </c>
      <c r="J53" s="7" t="n">
        <v>13</v>
      </c>
      <c r="K53" s="7" t="n">
        <v>824.37</v>
      </c>
      <c r="L53" s="7" t="n">
        <v>10716.75</v>
      </c>
      <c r="M53" s="7" t="inlineStr">
        <is>
          <t>Overdue</t>
        </is>
      </c>
      <c r="N53" s="7">
        <f>IF(OR(E53="Apex Office Supplies",E53="Apex Office Supply Ltd"),"Apex Office Supplies",IF(OR(E53="Northstar IT Services",E53="North Star IT Svc"),"Northstar IT Services",IF(OR(E53="Metro Logistics",E53="Metro Logistics Pvt Ltd"),"Metro Logistics",E53)))</f>
        <v/>
      </c>
      <c r="O53" s="7">
        <f>IF(AND(ISNUMBER(L53),L53&gt;0),"Valid","Review")</f>
        <v/>
      </c>
      <c r="P53" s="7">
        <f>IF(OR(E53="",F53="",NOT(ISNUMBER(L53))),"Check Missing/Invalid Data","OK")</f>
        <v/>
      </c>
    </row>
    <row r="54">
      <c r="A54" s="7" t="inlineStr">
        <is>
          <t>PO-00229</t>
        </is>
      </c>
      <c r="B54" s="9" t="n">
        <v>45698</v>
      </c>
      <c r="C54" s="7" t="inlineStr">
        <is>
          <t>Invoice</t>
        </is>
      </c>
      <c r="D54" s="7" t="inlineStr">
        <is>
          <t>SUP006</t>
        </is>
      </c>
      <c r="E54" s="7">
        <f>IF(E54="","Unknown Supplier",TRIM(E54))</f>
        <v/>
      </c>
      <c r="F54" s="7">
        <f>IF(F54="","Unclassified",TRIM(F54))</f>
        <v/>
      </c>
      <c r="G54" s="7" t="inlineStr">
        <is>
          <t>Freight services</t>
        </is>
      </c>
      <c r="H54" s="7" t="inlineStr">
        <is>
          <t>Operations</t>
        </is>
      </c>
      <c r="I54" s="7" t="inlineStr">
        <is>
          <t>East</t>
        </is>
      </c>
      <c r="J54" s="7" t="n">
        <v>96</v>
      </c>
      <c r="K54" s="7" t="n">
        <v>209.82</v>
      </c>
      <c r="L54" s="7" t="n">
        <v>20142.93</v>
      </c>
      <c r="M54" s="7" t="inlineStr">
        <is>
          <t>Overdue</t>
        </is>
      </c>
      <c r="N54" s="7">
        <f>IF(OR(E54="Apex Office Supplies",E54="Apex Office Supply Ltd"),"Apex Office Supplies",IF(OR(E54="Northstar IT Services",E54="North Star IT Svc"),"Northstar IT Services",IF(OR(E54="Metro Logistics",E54="Metro Logistics Pvt Ltd"),"Metro Logistics",E54)))</f>
        <v/>
      </c>
      <c r="O54" s="7">
        <f>IF(AND(ISNUMBER(L54),L54&gt;0),"Valid","Review")</f>
        <v/>
      </c>
      <c r="P54" s="7">
        <f>IF(OR(E54="",F54="",NOT(ISNUMBER(L54))),"Check Missing/Invalid Data","OK")</f>
        <v/>
      </c>
    </row>
    <row r="55">
      <c r="A55" s="7" t="inlineStr">
        <is>
          <t>PO-00552</t>
        </is>
      </c>
      <c r="B55" s="9" t="n">
        <v>45698</v>
      </c>
      <c r="C55" s="7" t="inlineStr">
        <is>
          <t>Invoice</t>
        </is>
      </c>
      <c r="D55" s="7" t="inlineStr">
        <is>
          <t>SUP003</t>
        </is>
      </c>
      <c r="E55" s="7">
        <f>IF(E55="","Unknown Supplier",TRIM(E55))</f>
        <v/>
      </c>
      <c r="F55" s="7">
        <f>IF(F55="","Unclassified",TRIM(F55))</f>
        <v/>
      </c>
      <c r="G55" s="7" t="inlineStr">
        <is>
          <t>IT consulting</t>
        </is>
      </c>
      <c r="H55" s="7" t="inlineStr">
        <is>
          <t>Technology</t>
        </is>
      </c>
      <c r="I55" s="7" t="inlineStr">
        <is>
          <t>West</t>
        </is>
      </c>
      <c r="J55" s="7" t="n">
        <v>84</v>
      </c>
      <c r="K55" s="7" t="n">
        <v>115.86</v>
      </c>
      <c r="L55" s="7" t="n">
        <v>9732.6</v>
      </c>
      <c r="M55" s="7" t="inlineStr">
        <is>
          <t>Pending</t>
        </is>
      </c>
      <c r="N55" s="7">
        <f>IF(OR(E55="Apex Office Supplies",E55="Apex Office Supply Ltd"),"Apex Office Supplies",IF(OR(E55="Northstar IT Services",E55="North Star IT Svc"),"Northstar IT Services",IF(OR(E55="Metro Logistics",E55="Metro Logistics Pvt Ltd"),"Metro Logistics",E55)))</f>
        <v/>
      </c>
      <c r="O55" s="7">
        <f>IF(AND(ISNUMBER(L55),L55&gt;0),"Valid","Review")</f>
        <v/>
      </c>
      <c r="P55" s="7">
        <f>IF(OR(E55="",F55="",NOT(ISNUMBER(L55))),"Check Missing/Invalid Data","OK")</f>
        <v/>
      </c>
    </row>
    <row r="56">
      <c r="A56" s="7" t="inlineStr">
        <is>
          <t>PO-00397</t>
        </is>
      </c>
      <c r="B56" s="9" t="n">
        <v>45698</v>
      </c>
      <c r="C56" s="7" t="inlineStr">
        <is>
          <t>Goods Receipt</t>
        </is>
      </c>
      <c r="D56" s="7" t="inlineStr">
        <is>
          <t>SUP007</t>
        </is>
      </c>
      <c r="E56" s="7">
        <f>IF(E56="","Unknown Supplier",TRIM(E56))</f>
        <v/>
      </c>
      <c r="F56" s="7">
        <f>IF(F56="","Unclassified",TRIM(F56))</f>
        <v/>
      </c>
      <c r="G56" s="7" t="inlineStr">
        <is>
          <t>Security services</t>
        </is>
      </c>
      <c r="H56" s="7" t="inlineStr">
        <is>
          <t>Manufacturing</t>
        </is>
      </c>
      <c r="I56" s="7" t="inlineStr">
        <is>
          <t>South</t>
        </is>
      </c>
      <c r="J56" s="7" t="n">
        <v>65</v>
      </c>
      <c r="K56" s="7" t="n">
        <v>198.34</v>
      </c>
      <c r="L56" s="7" t="n">
        <v>12891.79</v>
      </c>
      <c r="M56" s="7" t="inlineStr">
        <is>
          <t>Paid</t>
        </is>
      </c>
      <c r="N56" s="7">
        <f>IF(OR(E56="Apex Office Supplies",E56="Apex Office Supply Ltd"),"Apex Office Supplies",IF(OR(E56="Northstar IT Services",E56="North Star IT Svc"),"Northstar IT Services",IF(OR(E56="Metro Logistics",E56="Metro Logistics Pvt Ltd"),"Metro Logistics",E56)))</f>
        <v/>
      </c>
      <c r="O56" s="7">
        <f>IF(AND(ISNUMBER(L56),L56&gt;0),"Valid","Review")</f>
        <v/>
      </c>
      <c r="P56" s="7">
        <f>IF(OR(E56="",F56="",NOT(ISNUMBER(L56))),"Check Missing/Invalid Data","OK")</f>
        <v/>
      </c>
    </row>
    <row r="57">
      <c r="A57" s="7" t="inlineStr">
        <is>
          <t>PO-00137</t>
        </is>
      </c>
      <c r="B57" s="9" t="n">
        <v>45699</v>
      </c>
      <c r="C57" s="7" t="inlineStr">
        <is>
          <t>Goods Receipt</t>
        </is>
      </c>
      <c r="D57" s="7" t="inlineStr">
        <is>
          <t>SUP006</t>
        </is>
      </c>
      <c r="E57" s="7">
        <f>IF(E57="","Unknown Supplier",TRIM(E57))</f>
        <v/>
      </c>
      <c r="F57" s="7">
        <f>IF(F57="","Unclassified",TRIM(F57))</f>
        <v/>
      </c>
      <c r="G57" s="7" t="inlineStr">
        <is>
          <t>Warehouse handling</t>
        </is>
      </c>
      <c r="H57" s="7" t="inlineStr">
        <is>
          <t>Manufacturing</t>
        </is>
      </c>
      <c r="I57" s="7" t="inlineStr">
        <is>
          <t>East</t>
        </is>
      </c>
      <c r="J57" s="7" t="n">
        <v>36</v>
      </c>
      <c r="K57" s="7" t="n">
        <v>61.12</v>
      </c>
      <c r="L57" s="7" t="n">
        <v>2200.48</v>
      </c>
      <c r="M57" s="7" t="inlineStr">
        <is>
          <t>Pending</t>
        </is>
      </c>
      <c r="N57" s="7">
        <f>IF(OR(E57="Apex Office Supplies",E57="Apex Office Supply Ltd"),"Apex Office Supplies",IF(OR(E57="Northstar IT Services",E57="North Star IT Svc"),"Northstar IT Services",IF(OR(E57="Metro Logistics",E57="Metro Logistics Pvt Ltd"),"Metro Logistics",E57)))</f>
        <v/>
      </c>
      <c r="O57" s="7">
        <f>IF(AND(ISNUMBER(L57),L57&gt;0),"Valid","Review")</f>
        <v/>
      </c>
      <c r="P57" s="7">
        <f>IF(OR(E57="",F57="",NOT(ISNUMBER(L57))),"Check Missing/Invalid Data","OK")</f>
        <v/>
      </c>
    </row>
    <row r="58">
      <c r="A58" s="7" t="inlineStr">
        <is>
          <t>PO-00032</t>
        </is>
      </c>
      <c r="B58" s="9" t="n">
        <v>45699</v>
      </c>
      <c r="C58" s="7" t="inlineStr">
        <is>
          <t>Invoice</t>
        </is>
      </c>
      <c r="D58" s="7" t="inlineStr">
        <is>
          <t>SUP007</t>
        </is>
      </c>
      <c r="E58" s="7">
        <f>IF(E58="","Unknown Supplier",TRIM(E58))</f>
        <v/>
      </c>
      <c r="F58" s="7">
        <f>IF(F58="","Unclassified",TRIM(F58))</f>
        <v/>
      </c>
      <c r="G58" s="7" t="inlineStr">
        <is>
          <t>Cleaning services</t>
        </is>
      </c>
      <c r="H58" s="7" t="inlineStr">
        <is>
          <t>Technology</t>
        </is>
      </c>
      <c r="I58" s="7" t="inlineStr">
        <is>
          <t>South</t>
        </is>
      </c>
      <c r="J58" s="7" t="n">
        <v>41</v>
      </c>
      <c r="K58" s="7" t="n">
        <v>249.42</v>
      </c>
      <c r="L58" s="7" t="n">
        <v>10226.26</v>
      </c>
      <c r="M58" s="7" t="inlineStr">
        <is>
          <t>Pending</t>
        </is>
      </c>
      <c r="N58" s="7">
        <f>IF(OR(E58="Apex Office Supplies",E58="Apex Office Supply Ltd"),"Apex Office Supplies",IF(OR(E58="Northstar IT Services",E58="North Star IT Svc"),"Northstar IT Services",IF(OR(E58="Metro Logistics",E58="Metro Logistics Pvt Ltd"),"Metro Logistics",E58)))</f>
        <v/>
      </c>
      <c r="O58" s="7">
        <f>IF(AND(ISNUMBER(L58),L58&gt;0),"Valid","Review")</f>
        <v/>
      </c>
      <c r="P58" s="7">
        <f>IF(OR(E58="",F58="",NOT(ISNUMBER(L58))),"Check Missing/Invalid Data","OK")</f>
        <v/>
      </c>
    </row>
    <row r="59">
      <c r="A59" s="7" t="inlineStr">
        <is>
          <t>PO-00569</t>
        </is>
      </c>
      <c r="B59" s="9" t="n">
        <v>45699</v>
      </c>
      <c r="C59" s="7" t="inlineStr">
        <is>
          <t>Purchase Order</t>
        </is>
      </c>
      <c r="D59" s="7" t="inlineStr">
        <is>
          <t>SUP003</t>
        </is>
      </c>
      <c r="E59" s="7">
        <f>IF(E59="","Unknown Supplier",TRIM(E59))</f>
        <v/>
      </c>
      <c r="F59" s="7">
        <f>IF(F59="","Unclassified",TRIM(F59))</f>
        <v/>
      </c>
      <c r="G59" s="7" t="inlineStr">
        <is>
          <t>Electricity</t>
        </is>
      </c>
      <c r="H59" s="7" t="inlineStr">
        <is>
          <t>Technology</t>
        </is>
      </c>
      <c r="I59" s="7" t="inlineStr">
        <is>
          <t>West</t>
        </is>
      </c>
      <c r="J59" s="7" t="n">
        <v>61</v>
      </c>
      <c r="K59" s="7" t="n">
        <v>22.89</v>
      </c>
      <c r="L59" s="7" t="n">
        <v>1396.36</v>
      </c>
      <c r="M59" s="7" t="inlineStr">
        <is>
          <t>Paid</t>
        </is>
      </c>
      <c r="N59" s="7">
        <f>IF(OR(E59="Apex Office Supplies",E59="Apex Office Supply Ltd"),"Apex Office Supplies",IF(OR(E59="Northstar IT Services",E59="North Star IT Svc"),"Northstar IT Services",IF(OR(E59="Metro Logistics",E59="Metro Logistics Pvt Ltd"),"Metro Logistics",E59)))</f>
        <v/>
      </c>
      <c r="O59" s="7">
        <f>IF(AND(ISNUMBER(L59),L59&gt;0),"Valid","Review")</f>
        <v/>
      </c>
      <c r="P59" s="7">
        <f>IF(OR(E59="",F59="",NOT(ISNUMBER(L59))),"Check Missing/Invalid Data","OK")</f>
        <v/>
      </c>
    </row>
    <row r="60">
      <c r="A60" s="7" t="inlineStr">
        <is>
          <t>PO-00314</t>
        </is>
      </c>
      <c r="B60" s="9" t="n">
        <v>45700</v>
      </c>
      <c r="C60" s="7" t="inlineStr">
        <is>
          <t>Purchase Order</t>
        </is>
      </c>
      <c r="D60" s="7" t="inlineStr">
        <is>
          <t>SUP010</t>
        </is>
      </c>
      <c r="E60" s="7">
        <f>IF(E60="","Unknown Supplier",TRIM(E60))</f>
        <v/>
      </c>
      <c r="F60" s="7">
        <f>IF(F60="","Unclassified",TRIM(F60))</f>
        <v/>
      </c>
      <c r="G60" s="7" t="inlineStr">
        <is>
          <t>Security services</t>
        </is>
      </c>
      <c r="H60" s="7" t="inlineStr">
        <is>
          <t>Technology</t>
        </is>
      </c>
      <c r="I60" s="7" t="inlineStr">
        <is>
          <t>South</t>
        </is>
      </c>
      <c r="J60" s="7" t="n">
        <v>36</v>
      </c>
      <c r="K60" s="7" t="n">
        <v>148.4</v>
      </c>
      <c r="L60" s="7" t="n">
        <v>5342.57</v>
      </c>
      <c r="M60" s="7" t="inlineStr">
        <is>
          <t>Pending</t>
        </is>
      </c>
      <c r="N60" s="7">
        <f>IF(OR(E60="Apex Office Supplies",E60="Apex Office Supply Ltd"),"Apex Office Supplies",IF(OR(E60="Northstar IT Services",E60="North Star IT Svc"),"Northstar IT Services",IF(OR(E60="Metro Logistics",E60="Metro Logistics Pvt Ltd"),"Metro Logistics",E60)))</f>
        <v/>
      </c>
      <c r="O60" s="7">
        <f>IF(AND(ISNUMBER(L60),L60&gt;0),"Valid","Review")</f>
        <v/>
      </c>
      <c r="P60" s="7">
        <f>IF(OR(E60="",F60="",NOT(ISNUMBER(L60))),"Check Missing/Invalid Data","OK")</f>
        <v/>
      </c>
    </row>
    <row r="61">
      <c r="A61" s="7" t="inlineStr">
        <is>
          <t>PO-00357</t>
        </is>
      </c>
      <c r="B61" s="9" t="n">
        <v>45701</v>
      </c>
      <c r="C61" s="7" t="inlineStr">
        <is>
          <t>Invoice</t>
        </is>
      </c>
      <c r="D61" s="7" t="inlineStr">
        <is>
          <t>SUP010</t>
        </is>
      </c>
      <c r="E61" s="7">
        <f>IF(E61="","Unknown Supplier",TRIM(E61))</f>
        <v/>
      </c>
      <c r="F61" s="7">
        <f>IF(F61="","Unclassified",TRIM(F61))</f>
        <v/>
      </c>
      <c r="G61" s="7" t="inlineStr">
        <is>
          <t>Electricity</t>
        </is>
      </c>
      <c r="H61" s="7" t="inlineStr">
        <is>
          <t>Manufacturing</t>
        </is>
      </c>
      <c r="I61" s="7" t="inlineStr">
        <is>
          <t>North</t>
        </is>
      </c>
      <c r="J61" s="7" t="n">
        <v>105</v>
      </c>
      <c r="K61" s="7" t="n">
        <v>23.88</v>
      </c>
      <c r="L61" s="7" t="n">
        <v>2507.23</v>
      </c>
      <c r="M61" s="7" t="inlineStr">
        <is>
          <t>Pending</t>
        </is>
      </c>
      <c r="N61" s="7">
        <f>IF(OR(E61="Apex Office Supplies",E61="Apex Office Supply Ltd"),"Apex Office Supplies",IF(OR(E61="Northstar IT Services",E61="North Star IT Svc"),"Northstar IT Services",IF(OR(E61="Metro Logistics",E61="Metro Logistics Pvt Ltd"),"Metro Logistics",E61)))</f>
        <v/>
      </c>
      <c r="O61" s="7">
        <f>IF(AND(ISNUMBER(L61),L61&gt;0),"Valid","Review")</f>
        <v/>
      </c>
      <c r="P61" s="7">
        <f>IF(OR(E61="",F61="",NOT(ISNUMBER(L61))),"Check Missing/Invalid Data","OK")</f>
        <v/>
      </c>
    </row>
    <row r="62">
      <c r="A62" s="7" t="inlineStr">
        <is>
          <t>PO-00575</t>
        </is>
      </c>
      <c r="B62" s="9" t="n">
        <v>45703</v>
      </c>
      <c r="C62" s="7" t="inlineStr">
        <is>
          <t>Invoice</t>
        </is>
      </c>
      <c r="D62" s="7" t="inlineStr">
        <is>
          <t>SUP004</t>
        </is>
      </c>
      <c r="E62" s="7">
        <f>IF(E62="","Unknown Supplier",TRIM(E62))</f>
        <v/>
      </c>
      <c r="F62" s="7">
        <f>IF(F62="","Unclassified",TRIM(F62))</f>
        <v/>
      </c>
      <c r="G62" s="7" t="inlineStr">
        <is>
          <t>IT consulting</t>
        </is>
      </c>
      <c r="H62" s="7" t="inlineStr">
        <is>
          <t>Corporate</t>
        </is>
      </c>
      <c r="I62" s="7" t="inlineStr">
        <is>
          <t>North</t>
        </is>
      </c>
      <c r="J62" s="7" t="n">
        <v>80</v>
      </c>
      <c r="K62" s="7" t="n">
        <v>37.28</v>
      </c>
      <c r="L62" s="7" t="n">
        <v>2982.24</v>
      </c>
      <c r="M62" s="7" t="inlineStr">
        <is>
          <t>Pending</t>
        </is>
      </c>
      <c r="N62" s="7">
        <f>IF(OR(E62="Apex Office Supplies",E62="Apex Office Supply Ltd"),"Apex Office Supplies",IF(OR(E62="Northstar IT Services",E62="North Star IT Svc"),"Northstar IT Services",IF(OR(E62="Metro Logistics",E62="Metro Logistics Pvt Ltd"),"Metro Logistics",E62)))</f>
        <v/>
      </c>
      <c r="O62" s="7">
        <f>IF(AND(ISNUMBER(L62),L62&gt;0),"Valid","Review")</f>
        <v/>
      </c>
      <c r="P62" s="7">
        <f>IF(OR(E62="",F62="",NOT(ISNUMBER(L62))),"Check Missing/Invalid Data","OK")</f>
        <v/>
      </c>
    </row>
    <row r="63">
      <c r="A63" s="7" t="inlineStr">
        <is>
          <t>PO-00330</t>
        </is>
      </c>
      <c r="B63" s="9" t="n">
        <v>45704</v>
      </c>
      <c r="C63" s="7" t="inlineStr">
        <is>
          <t>Purchase Order</t>
        </is>
      </c>
      <c r="D63" s="7" t="inlineStr">
        <is>
          <t>SUP012</t>
        </is>
      </c>
      <c r="E63" s="7">
        <f>IF(E63="","Unknown Supplier",TRIM(E63))</f>
        <v/>
      </c>
      <c r="F63" s="7">
        <f>IF(F63="","Unclassified",TRIM(F63))</f>
        <v/>
      </c>
      <c r="G63" s="7" t="inlineStr">
        <is>
          <t>Tools and supplies</t>
        </is>
      </c>
      <c r="H63" s="7" t="inlineStr">
        <is>
          <t>Operations</t>
        </is>
      </c>
      <c r="I63" s="7" t="inlineStr">
        <is>
          <t>West</t>
        </is>
      </c>
      <c r="J63" s="7" t="n">
        <v>10</v>
      </c>
      <c r="K63" s="7" t="n">
        <v>393.6</v>
      </c>
      <c r="L63" s="7" t="n">
        <v>3935.97</v>
      </c>
      <c r="M63" s="7" t="inlineStr">
        <is>
          <t>Paid</t>
        </is>
      </c>
      <c r="N63" s="7">
        <f>IF(OR(E63="Apex Office Supplies",E63="Apex Office Supply Ltd"),"Apex Office Supplies",IF(OR(E63="Northstar IT Services",E63="North Star IT Svc"),"Northstar IT Services",IF(OR(E63="Metro Logistics",E63="Metro Logistics Pvt Ltd"),"Metro Logistics",E63)))</f>
        <v/>
      </c>
      <c r="O63" s="7">
        <f>IF(AND(ISNUMBER(L63),L63&gt;0),"Valid","Review")</f>
        <v/>
      </c>
      <c r="P63" s="7">
        <f>IF(OR(E63="",F63="",NOT(ISNUMBER(L63))),"Check Missing/Invalid Data","OK")</f>
        <v/>
      </c>
    </row>
    <row r="64">
      <c r="A64" s="7" t="inlineStr">
        <is>
          <t>PO-00286</t>
        </is>
      </c>
      <c r="B64" s="9" t="n">
        <v>45705</v>
      </c>
      <c r="C64" s="7" t="inlineStr">
        <is>
          <t>Purchase Order</t>
        </is>
      </c>
      <c r="D64" s="7" t="inlineStr">
        <is>
          <t>SUP010</t>
        </is>
      </c>
      <c r="E64" s="7">
        <f>IF(E64="","Unknown Supplier",TRIM(E64))</f>
        <v/>
      </c>
      <c r="F64" s="7">
        <f>IF(F64="","Unclassified",TRIM(F64))</f>
        <v/>
      </c>
      <c r="G64" s="7" t="inlineStr">
        <is>
          <t>Water services</t>
        </is>
      </c>
      <c r="H64" s="7" t="inlineStr">
        <is>
          <t>Sales</t>
        </is>
      </c>
      <c r="I64" s="7" t="inlineStr">
        <is>
          <t>West</t>
        </is>
      </c>
      <c r="J64" s="7" t="n">
        <v>50</v>
      </c>
      <c r="K64" s="7" t="n">
        <v>118.42</v>
      </c>
      <c r="L64" s="7" t="n">
        <v>5920.81</v>
      </c>
      <c r="M64" s="7" t="inlineStr">
        <is>
          <t>Paid</t>
        </is>
      </c>
      <c r="N64" s="7">
        <f>IF(OR(E64="Apex Office Supplies",E64="Apex Office Supply Ltd"),"Apex Office Supplies",IF(OR(E64="Northstar IT Services",E64="North Star IT Svc"),"Northstar IT Services",IF(OR(E64="Metro Logistics",E64="Metro Logistics Pvt Ltd"),"Metro Logistics",E64)))</f>
        <v/>
      </c>
      <c r="O64" s="7">
        <f>IF(AND(ISNUMBER(L64),L64&gt;0),"Valid","Review")</f>
        <v/>
      </c>
      <c r="P64" s="7">
        <f>IF(OR(E64="",F64="",NOT(ISNUMBER(L64))),"Check Missing/Invalid Data","OK")</f>
        <v/>
      </c>
    </row>
    <row r="65">
      <c r="A65" s="7" t="inlineStr">
        <is>
          <t>PO-00038</t>
        </is>
      </c>
      <c r="B65" s="9" t="n">
        <v>45705</v>
      </c>
      <c r="C65" s="7" t="inlineStr">
        <is>
          <t>Invoice</t>
        </is>
      </c>
      <c r="D65" s="7" t="inlineStr">
        <is>
          <t>SUP011</t>
        </is>
      </c>
      <c r="E65" s="7">
        <f>IF(E65="","Unknown Supplier",TRIM(E65))</f>
        <v/>
      </c>
      <c r="F65" s="7">
        <f>IF(F65="","Unclassified",TRIM(F65))</f>
        <v/>
      </c>
      <c r="G65" s="7" t="inlineStr">
        <is>
          <t>Digital campaign</t>
        </is>
      </c>
      <c r="H65" s="7" t="inlineStr">
        <is>
          <t>Technology</t>
        </is>
      </c>
      <c r="I65" s="7" t="inlineStr">
        <is>
          <t>South</t>
        </is>
      </c>
      <c r="J65" s="7" t="n">
        <v>1</v>
      </c>
      <c r="K65" s="7" t="n">
        <v>5067.04</v>
      </c>
      <c r="L65" s="7" t="n">
        <v>5067.04</v>
      </c>
      <c r="M65" s="7" t="inlineStr">
        <is>
          <t>Overdue</t>
        </is>
      </c>
      <c r="N65" s="7">
        <f>IF(OR(E65="Apex Office Supplies",E65="Apex Office Supply Ltd"),"Apex Office Supplies",IF(OR(E65="Northstar IT Services",E65="North Star IT Svc"),"Northstar IT Services",IF(OR(E65="Metro Logistics",E65="Metro Logistics Pvt Ltd"),"Metro Logistics",E65)))</f>
        <v/>
      </c>
      <c r="O65" s="7">
        <f>IF(AND(ISNUMBER(L65),L65&gt;0),"Valid","Review")</f>
        <v/>
      </c>
      <c r="P65" s="7">
        <f>IF(OR(E65="",F65="",NOT(ISNUMBER(L65))),"Check Missing/Invalid Data","OK")</f>
        <v/>
      </c>
    </row>
    <row r="66">
      <c r="A66" s="7" t="inlineStr">
        <is>
          <t>PO-00571</t>
        </is>
      </c>
      <c r="B66" s="9" t="n">
        <v>45706</v>
      </c>
      <c r="C66" s="7" t="inlineStr">
        <is>
          <t>Goods Receipt</t>
        </is>
      </c>
      <c r="D66" s="7" t="inlineStr">
        <is>
          <t>SUP009</t>
        </is>
      </c>
      <c r="E66" s="7">
        <f>IF(E66="","Unknown Supplier",TRIM(E66))</f>
        <v/>
      </c>
      <c r="F66" s="7">
        <f>IF(F66="","Unclassified",TRIM(F66))</f>
        <v/>
      </c>
      <c r="G66" s="7" t="inlineStr">
        <is>
          <t>Training services</t>
        </is>
      </c>
      <c r="H66" s="7" t="inlineStr">
        <is>
          <t>Technology</t>
        </is>
      </c>
      <c r="I66" s="7" t="inlineStr">
        <is>
          <t>South</t>
        </is>
      </c>
      <c r="J66" s="7" t="n">
        <v>50</v>
      </c>
      <c r="K66" s="7" t="n">
        <v>130.8</v>
      </c>
      <c r="L66" s="7" t="n">
        <v>6539.96</v>
      </c>
      <c r="M66" s="7" t="inlineStr">
        <is>
          <t>Overdue</t>
        </is>
      </c>
      <c r="N66" s="7">
        <f>IF(OR(E66="Apex Office Supplies",E66="Apex Office Supply Ltd"),"Apex Office Supplies",IF(OR(E66="Northstar IT Services",E66="North Star IT Svc"),"Northstar IT Services",IF(OR(E66="Metro Logistics",E66="Metro Logistics Pvt Ltd"),"Metro Logistics",E66)))</f>
        <v/>
      </c>
      <c r="O66" s="7">
        <f>IF(AND(ISNUMBER(L66),L66&gt;0),"Valid","Review")</f>
        <v/>
      </c>
      <c r="P66" s="7">
        <f>IF(OR(E66="",F66="",NOT(ISNUMBER(L66))),"Check Missing/Invalid Data","OK")</f>
        <v/>
      </c>
    </row>
    <row r="67">
      <c r="A67" s="7" t="inlineStr">
        <is>
          <t>PO-00165</t>
        </is>
      </c>
      <c r="B67" s="9" t="n">
        <v>45706</v>
      </c>
      <c r="C67" s="7" t="inlineStr">
        <is>
          <t>Goods Receipt</t>
        </is>
      </c>
      <c r="D67" s="7" t="inlineStr">
        <is>
          <t>SUP009</t>
        </is>
      </c>
      <c r="E67" s="7">
        <f>IF(E67="","Unknown Supplier",TRIM(E67))</f>
        <v/>
      </c>
      <c r="F67" s="7">
        <f>IF(F67="","Unclassified",TRIM(F67))</f>
        <v/>
      </c>
      <c r="G67" s="7" t="inlineStr">
        <is>
          <t>Audit support</t>
        </is>
      </c>
      <c r="H67" s="7" t="inlineStr">
        <is>
          <t>Operations</t>
        </is>
      </c>
      <c r="I67" s="7" t="inlineStr">
        <is>
          <t>East</t>
        </is>
      </c>
      <c r="J67" s="7" t="n">
        <v>93</v>
      </c>
      <c r="K67" s="7" t="n">
        <v>95.06</v>
      </c>
      <c r="L67" s="7" t="n">
        <v>8840.93</v>
      </c>
      <c r="M67" s="7" t="inlineStr">
        <is>
          <t>Paid</t>
        </is>
      </c>
      <c r="N67" s="7">
        <f>IF(OR(E67="Apex Office Supplies",E67="Apex Office Supply Ltd"),"Apex Office Supplies",IF(OR(E67="Northstar IT Services",E67="North Star IT Svc"),"Northstar IT Services",IF(OR(E67="Metro Logistics",E67="Metro Logistics Pvt Ltd"),"Metro Logistics",E67)))</f>
        <v/>
      </c>
      <c r="O67" s="7">
        <f>IF(AND(ISNUMBER(L67),L67&gt;0),"Valid","Review")</f>
        <v/>
      </c>
      <c r="P67" s="7">
        <f>IF(OR(E67="",F67="",NOT(ISNUMBER(L67))),"Check Missing/Invalid Data","OK")</f>
        <v/>
      </c>
    </row>
    <row r="68">
      <c r="A68" s="7" t="inlineStr">
        <is>
          <t>PO-00555</t>
        </is>
      </c>
      <c r="B68" s="9" t="n">
        <v>45706</v>
      </c>
      <c r="C68" s="7" t="inlineStr">
        <is>
          <t>Purchase Order</t>
        </is>
      </c>
      <c r="D68" s="7" t="inlineStr">
        <is>
          <t>SUP002</t>
        </is>
      </c>
      <c r="E68" s="7">
        <f>IF(E68="","Unknown Supplier",TRIM(E68))</f>
        <v/>
      </c>
      <c r="F68" s="7">
        <f>IF(F68="","Unclassified",TRIM(F68))</f>
        <v/>
      </c>
      <c r="G68" s="7" t="inlineStr">
        <is>
          <t>Pens and stationery</t>
        </is>
      </c>
      <c r="H68" s="7" t="inlineStr">
        <is>
          <t>Manufacturing</t>
        </is>
      </c>
      <c r="I68" s="7" t="inlineStr">
        <is>
          <t>North</t>
        </is>
      </c>
      <c r="J68" s="7" t="n">
        <v>7</v>
      </c>
      <c r="K68" s="7" t="n">
        <v>1225.79</v>
      </c>
      <c r="L68" s="7" t="n">
        <v>8580.559999999999</v>
      </c>
      <c r="M68" s="7" t="inlineStr">
        <is>
          <t>Paid</t>
        </is>
      </c>
      <c r="N68" s="7">
        <f>IF(OR(E68="Apex Office Supplies",E68="Apex Office Supply Ltd"),"Apex Office Supplies",IF(OR(E68="Northstar IT Services",E68="North Star IT Svc"),"Northstar IT Services",IF(OR(E68="Metro Logistics",E68="Metro Logistics Pvt Ltd"),"Metro Logistics",E68)))</f>
        <v/>
      </c>
      <c r="O68" s="7">
        <f>IF(AND(ISNUMBER(L68),L68&gt;0),"Valid","Review")</f>
        <v/>
      </c>
      <c r="P68" s="7">
        <f>IF(OR(E68="",F68="",NOT(ISNUMBER(L68))),"Check Missing/Invalid Data","OK")</f>
        <v/>
      </c>
    </row>
    <row r="69">
      <c r="A69" s="7" t="inlineStr">
        <is>
          <t>PO-00217</t>
        </is>
      </c>
      <c r="B69" s="9" t="n">
        <v>45707</v>
      </c>
      <c r="C69" s="7" t="inlineStr">
        <is>
          <t>Invoice</t>
        </is>
      </c>
      <c r="D69" s="7" t="inlineStr">
        <is>
          <t>SUP007</t>
        </is>
      </c>
      <c r="E69" s="7">
        <f>IF(E69="","Unknown Supplier",TRIM(E69))</f>
        <v/>
      </c>
      <c r="F69" s="7">
        <f>IF(F69="","Unclassified",TRIM(F69))</f>
        <v/>
      </c>
      <c r="G69" s="7" t="inlineStr">
        <is>
          <t>Cleaning services</t>
        </is>
      </c>
      <c r="H69" s="7" t="inlineStr">
        <is>
          <t>Operations</t>
        </is>
      </c>
      <c r="I69" s="7" t="inlineStr">
        <is>
          <t>West</t>
        </is>
      </c>
      <c r="J69" s="7" t="n">
        <v>72</v>
      </c>
      <c r="K69" s="7" t="n">
        <v>246.72</v>
      </c>
      <c r="L69" s="7" t="n">
        <v>17763.76</v>
      </c>
      <c r="M69" s="7" t="inlineStr">
        <is>
          <t>Overdue</t>
        </is>
      </c>
      <c r="N69" s="7">
        <f>IF(OR(E69="Apex Office Supplies",E69="Apex Office Supply Ltd"),"Apex Office Supplies",IF(OR(E69="Northstar IT Services",E69="North Star IT Svc"),"Northstar IT Services",IF(OR(E69="Metro Logistics",E69="Metro Logistics Pvt Ltd"),"Metro Logistics",E69)))</f>
        <v/>
      </c>
      <c r="O69" s="7">
        <f>IF(AND(ISNUMBER(L69),L69&gt;0),"Valid","Review")</f>
        <v/>
      </c>
      <c r="P69" s="7">
        <f>IF(OR(E69="",F69="",NOT(ISNUMBER(L69))),"Check Missing/Invalid Data","OK")</f>
        <v/>
      </c>
    </row>
    <row r="70">
      <c r="A70" s="7" t="inlineStr">
        <is>
          <t>PO-00514</t>
        </is>
      </c>
      <c r="B70" s="9" t="n">
        <v>45707</v>
      </c>
      <c r="C70" s="7" t="inlineStr">
        <is>
          <t>Goods Receipt</t>
        </is>
      </c>
      <c r="D70" s="7" t="inlineStr">
        <is>
          <t>SUP003</t>
        </is>
      </c>
      <c r="E70" s="7">
        <f>IF(E70="","Unknown Supplier",TRIM(E70))</f>
        <v/>
      </c>
      <c r="F70" s="7">
        <f>IF(F70="","Unclassified",TRIM(F70))</f>
        <v/>
      </c>
      <c r="G70" s="7" t="inlineStr">
        <is>
          <t>IT consulting</t>
        </is>
      </c>
      <c r="H70" s="7" t="inlineStr">
        <is>
          <t>Corporate</t>
        </is>
      </c>
      <c r="I70" s="7" t="inlineStr">
        <is>
          <t>North</t>
        </is>
      </c>
      <c r="J70" s="7" t="n">
        <v>5</v>
      </c>
      <c r="K70" s="7" t="n">
        <v>3777.98</v>
      </c>
      <c r="L70" s="7" t="n">
        <v>18889.89</v>
      </c>
      <c r="M70" s="7" t="inlineStr">
        <is>
          <t>Pending</t>
        </is>
      </c>
      <c r="N70" s="7">
        <f>IF(OR(E70="Apex Office Supplies",E70="Apex Office Supply Ltd"),"Apex Office Supplies",IF(OR(E70="Northstar IT Services",E70="North Star IT Svc"),"Northstar IT Services",IF(OR(E70="Metro Logistics",E70="Metro Logistics Pvt Ltd"),"Metro Logistics",E70)))</f>
        <v/>
      </c>
      <c r="O70" s="7">
        <f>IF(AND(ISNUMBER(L70),L70&gt;0),"Valid","Review")</f>
        <v/>
      </c>
      <c r="P70" s="7">
        <f>IF(OR(E70="",F70="",NOT(ISNUMBER(L70))),"Check Missing/Invalid Data","OK")</f>
        <v/>
      </c>
    </row>
    <row r="71">
      <c r="A71" s="7" t="inlineStr">
        <is>
          <t>PO-00128</t>
        </is>
      </c>
      <c r="B71" s="9" t="n">
        <v>45708</v>
      </c>
      <c r="C71" s="7" t="inlineStr">
        <is>
          <t>Purchase Order</t>
        </is>
      </c>
      <c r="D71" s="7" t="inlineStr">
        <is>
          <t>SUP008</t>
        </is>
      </c>
      <c r="E71" s="7">
        <f>IF(E71="","Unknown Supplier",TRIM(E71))</f>
        <v/>
      </c>
      <c r="F71" s="7">
        <f>IF(F71="","Unclassified",TRIM(F71))</f>
        <v/>
      </c>
      <c r="G71" s="7" t="inlineStr">
        <is>
          <t>Labels</t>
        </is>
      </c>
      <c r="H71" s="7" t="inlineStr">
        <is>
          <t>Technology</t>
        </is>
      </c>
      <c r="I71" s="7" t="inlineStr">
        <is>
          <t>South</t>
        </is>
      </c>
      <c r="J71" s="7" t="n">
        <v>36</v>
      </c>
      <c r="K71" s="7" t="n">
        <v>469.73</v>
      </c>
      <c r="L71" s="7" t="n">
        <v>16910.27</v>
      </c>
      <c r="M71" s="7" t="inlineStr">
        <is>
          <t>Pending</t>
        </is>
      </c>
      <c r="N71" s="7">
        <f>IF(OR(E71="Apex Office Supplies",E71="Apex Office Supply Ltd"),"Apex Office Supplies",IF(OR(E71="Northstar IT Services",E71="North Star IT Svc"),"Northstar IT Services",IF(OR(E71="Metro Logistics",E71="Metro Logistics Pvt Ltd"),"Metro Logistics",E71)))</f>
        <v/>
      </c>
      <c r="O71" s="7">
        <f>IF(AND(ISNUMBER(L71),L71&gt;0),"Valid","Review")</f>
        <v/>
      </c>
      <c r="P71" s="7">
        <f>IF(OR(E71="",F71="",NOT(ISNUMBER(L71))),"Check Missing/Invalid Data","OK")</f>
        <v/>
      </c>
    </row>
    <row r="72">
      <c r="A72" s="7" t="inlineStr">
        <is>
          <t>PO-00299</t>
        </is>
      </c>
      <c r="B72" s="9" t="n">
        <v>45708</v>
      </c>
      <c r="C72" s="7" t="inlineStr">
        <is>
          <t>Goods Receipt</t>
        </is>
      </c>
      <c r="D72" s="7" t="inlineStr">
        <is>
          <t>SUP005</t>
        </is>
      </c>
      <c r="E72" s="7">
        <f>IF(E72="","Unknown Supplier",TRIM(E72))</f>
        <v/>
      </c>
      <c r="F72" s="7">
        <f>IF(F72="","Unclassified",TRIM(F72))</f>
        <v/>
      </c>
      <c r="G72" s="7" t="inlineStr">
        <is>
          <t>Warehouse handling</t>
        </is>
      </c>
      <c r="H72" s="7" t="inlineStr">
        <is>
          <t>Manufacturing</t>
        </is>
      </c>
      <c r="I72" s="7" t="inlineStr">
        <is>
          <t>South</t>
        </is>
      </c>
      <c r="J72" s="7" t="n">
        <v>72</v>
      </c>
      <c r="K72" s="7" t="n">
        <v>318.13</v>
      </c>
      <c r="L72" s="7" t="n">
        <v>22905.34</v>
      </c>
      <c r="M72" s="7" t="inlineStr">
        <is>
          <t>Pending</t>
        </is>
      </c>
      <c r="N72" s="7">
        <f>IF(OR(E72="Apex Office Supplies",E72="Apex Office Supply Ltd"),"Apex Office Supplies",IF(OR(E72="Northstar IT Services",E72="North Star IT Svc"),"Northstar IT Services",IF(OR(E72="Metro Logistics",E72="Metro Logistics Pvt Ltd"),"Metro Logistics",E72)))</f>
        <v/>
      </c>
      <c r="O72" s="7">
        <f>IF(AND(ISNUMBER(L72),L72&gt;0),"Valid","Review")</f>
        <v/>
      </c>
      <c r="P72" s="7">
        <f>IF(OR(E72="",F72="",NOT(ISNUMBER(L72))),"Check Missing/Invalid Data","OK")</f>
        <v/>
      </c>
    </row>
    <row r="73">
      <c r="A73" s="7" t="inlineStr">
        <is>
          <t>PO-00547</t>
        </is>
      </c>
      <c r="B73" s="9" t="n">
        <v>45708</v>
      </c>
      <c r="C73" s="7" t="inlineStr">
        <is>
          <t>Invoice</t>
        </is>
      </c>
      <c r="D73" s="7" t="inlineStr">
        <is>
          <t>SUP012</t>
        </is>
      </c>
      <c r="E73" s="7">
        <f>IF(E73="","Unknown Supplier",TRIM(E73))</f>
        <v/>
      </c>
      <c r="F73" s="7">
        <f>IF(F73="","Unclassified",TRIM(F73))</f>
        <v/>
      </c>
      <c r="G73" s="7" t="inlineStr">
        <is>
          <t>Tools and supplies</t>
        </is>
      </c>
      <c r="H73" s="7" t="inlineStr">
        <is>
          <t>Corporate</t>
        </is>
      </c>
      <c r="I73" s="7" t="inlineStr">
        <is>
          <t>West</t>
        </is>
      </c>
      <c r="J73" s="7" t="n">
        <v>33</v>
      </c>
      <c r="K73" s="7" t="n">
        <v>120.38</v>
      </c>
      <c r="L73" s="7" t="n">
        <v>3972.56</v>
      </c>
      <c r="M73" s="7" t="inlineStr">
        <is>
          <t>Overdue</t>
        </is>
      </c>
      <c r="N73" s="7">
        <f>IF(OR(E73="Apex Office Supplies",E73="Apex Office Supply Ltd"),"Apex Office Supplies",IF(OR(E73="Northstar IT Services",E73="North Star IT Svc"),"Northstar IT Services",IF(OR(E73="Metro Logistics",E73="Metro Logistics Pvt Ltd"),"Metro Logistics",E73)))</f>
        <v/>
      </c>
      <c r="O73" s="7">
        <f>IF(AND(ISNUMBER(L73),L73&gt;0),"Valid","Review")</f>
        <v/>
      </c>
      <c r="P73" s="7">
        <f>IF(OR(E73="",F73="",NOT(ISNUMBER(L73))),"Check Missing/Invalid Data","OK")</f>
        <v/>
      </c>
    </row>
    <row r="74">
      <c r="A74" s="7" t="inlineStr">
        <is>
          <t>PO-00177</t>
        </is>
      </c>
      <c r="B74" s="9" t="n">
        <v>45708</v>
      </c>
      <c r="C74" s="7" t="inlineStr">
        <is>
          <t>Purchase Order</t>
        </is>
      </c>
      <c r="D74" s="7" t="inlineStr">
        <is>
          <t>SUP012</t>
        </is>
      </c>
      <c r="E74" s="7">
        <f>IF(E74="","Unknown Supplier",TRIM(E74))</f>
        <v/>
      </c>
      <c r="F74" s="7">
        <f>IF(F74="","Unclassified",TRIM(F74))</f>
        <v/>
      </c>
      <c r="G74" s="7" t="inlineStr">
        <is>
          <t>Equipment servicing</t>
        </is>
      </c>
      <c r="H74" s="7" t="inlineStr">
        <is>
          <t>Sales</t>
        </is>
      </c>
      <c r="I74" s="7" t="inlineStr">
        <is>
          <t>South</t>
        </is>
      </c>
      <c r="J74" s="7" t="n">
        <v>18</v>
      </c>
      <c r="K74" s="7" t="n">
        <v>792.77</v>
      </c>
      <c r="L74" s="7" t="n">
        <v>14269.89</v>
      </c>
      <c r="M74" s="7" t="inlineStr">
        <is>
          <t>Overdue</t>
        </is>
      </c>
      <c r="N74" s="7">
        <f>IF(OR(E74="Apex Office Supplies",E74="Apex Office Supply Ltd"),"Apex Office Supplies",IF(OR(E74="Northstar IT Services",E74="North Star IT Svc"),"Northstar IT Services",IF(OR(E74="Metro Logistics",E74="Metro Logistics Pvt Ltd"),"Metro Logistics",E74)))</f>
        <v/>
      </c>
      <c r="O74" s="7">
        <f>IF(AND(ISNUMBER(L74),L74&gt;0),"Valid","Review")</f>
        <v/>
      </c>
      <c r="P74" s="7">
        <f>IF(OR(E74="",F74="",NOT(ISNUMBER(L74))),"Check Missing/Invalid Data","OK")</f>
        <v/>
      </c>
    </row>
    <row r="75">
      <c r="A75" s="7" t="inlineStr">
        <is>
          <t>PO-00379</t>
        </is>
      </c>
      <c r="B75" s="9" t="n">
        <v>45709</v>
      </c>
      <c r="C75" s="7" t="inlineStr">
        <is>
          <t>Goods Receipt</t>
        </is>
      </c>
      <c r="D75" s="7" t="inlineStr">
        <is>
          <t>SUP006</t>
        </is>
      </c>
      <c r="E75" s="7">
        <f>IF(E75="","Unknown Supplier",TRIM(E75))</f>
        <v/>
      </c>
      <c r="F75" s="7">
        <f>IF(F75="","Unclassified",TRIM(F75))</f>
        <v/>
      </c>
      <c r="G75" s="7" t="inlineStr">
        <is>
          <t>Courier services</t>
        </is>
      </c>
      <c r="H75" s="7" t="inlineStr">
        <is>
          <t>Sales</t>
        </is>
      </c>
      <c r="I75" s="7" t="inlineStr">
        <is>
          <t>East</t>
        </is>
      </c>
      <c r="J75" s="7" t="n">
        <v>21</v>
      </c>
      <c r="K75" s="7" t="n">
        <v>207.22</v>
      </c>
      <c r="L75" s="7" t="n">
        <v>4351.58</v>
      </c>
      <c r="M75" s="7" t="inlineStr">
        <is>
          <t>Paid</t>
        </is>
      </c>
      <c r="N75" s="7">
        <f>IF(OR(E75="Apex Office Supplies",E75="Apex Office Supply Ltd"),"Apex Office Supplies",IF(OR(E75="Northstar IT Services",E75="North Star IT Svc"),"Northstar IT Services",IF(OR(E75="Metro Logistics",E75="Metro Logistics Pvt Ltd"),"Metro Logistics",E75)))</f>
        <v/>
      </c>
      <c r="O75" s="7">
        <f>IF(AND(ISNUMBER(L75),L75&gt;0),"Valid","Review")</f>
        <v/>
      </c>
      <c r="P75" s="7">
        <f>IF(OR(E75="",F75="",NOT(ISNUMBER(L75))),"Check Missing/Invalid Data","OK")</f>
        <v/>
      </c>
    </row>
    <row r="76">
      <c r="A76" s="7" t="inlineStr">
        <is>
          <t>PO-00335</t>
        </is>
      </c>
      <c r="B76" s="9" t="n">
        <v>45709</v>
      </c>
      <c r="C76" s="7" t="inlineStr">
        <is>
          <t>Invoice</t>
        </is>
      </c>
      <c r="D76" s="7" t="inlineStr">
        <is>
          <t>SUP003</t>
        </is>
      </c>
      <c r="E76" s="7">
        <f>IF(E76="","Unknown Supplier",TRIM(E76))</f>
        <v/>
      </c>
      <c r="F76" s="7">
        <f>IF(F76="","Unclassified",TRIM(F76))</f>
        <v/>
      </c>
      <c r="G76" s="7" t="inlineStr">
        <is>
          <t>Cloud services</t>
        </is>
      </c>
      <c r="H76" s="7" t="inlineStr">
        <is>
          <t>Technology</t>
        </is>
      </c>
      <c r="I76" s="7" t="inlineStr">
        <is>
          <t>South</t>
        </is>
      </c>
      <c r="J76" s="7" t="n">
        <v>50</v>
      </c>
      <c r="K76" s="7" t="n">
        <v>362.49</v>
      </c>
      <c r="L76" s="7" t="n">
        <v>18124.69</v>
      </c>
      <c r="M76" s="7" t="inlineStr">
        <is>
          <t>Paid</t>
        </is>
      </c>
      <c r="N76" s="7">
        <f>IF(OR(E76="Apex Office Supplies",E76="Apex Office Supply Ltd"),"Apex Office Supplies",IF(OR(E76="Northstar IT Services",E76="North Star IT Svc"),"Northstar IT Services",IF(OR(E76="Metro Logistics",E76="Metro Logistics Pvt Ltd"),"Metro Logistics",E76)))</f>
        <v/>
      </c>
      <c r="O76" s="7">
        <f>IF(AND(ISNUMBER(L76),L76&gt;0),"Valid","Review")</f>
        <v/>
      </c>
      <c r="P76" s="7">
        <f>IF(OR(E76="",F76="",NOT(ISNUMBER(L76))),"Check Missing/Invalid Data","OK")</f>
        <v/>
      </c>
    </row>
    <row r="77">
      <c r="A77" s="7" t="inlineStr">
        <is>
          <t>PO-00373</t>
        </is>
      </c>
      <c r="B77" s="9" t="n">
        <v>45709</v>
      </c>
      <c r="C77" s="7" t="inlineStr">
        <is>
          <t>Goods Receipt</t>
        </is>
      </c>
      <c r="D77" s="7" t="inlineStr">
        <is>
          <t>SUP004</t>
        </is>
      </c>
      <c r="E77" s="7">
        <f>IF(E77="","Unknown Supplier",TRIM(E77))</f>
        <v/>
      </c>
      <c r="F77" s="7">
        <f>IF(F77="","Unclassified",TRIM(F77))</f>
        <v/>
      </c>
      <c r="G77" s="7" t="inlineStr">
        <is>
          <t>Software support</t>
        </is>
      </c>
      <c r="H77" s="7" t="inlineStr">
        <is>
          <t>Operations</t>
        </is>
      </c>
      <c r="I77" s="7" t="inlineStr">
        <is>
          <t>West</t>
        </is>
      </c>
      <c r="J77" s="7" t="n">
        <v>105</v>
      </c>
      <c r="K77" s="7" t="n">
        <v>79.09999999999999</v>
      </c>
      <c r="L77" s="7" t="n">
        <v>8305.35</v>
      </c>
      <c r="M77" s="7" t="inlineStr">
        <is>
          <t>Pending</t>
        </is>
      </c>
      <c r="N77" s="7">
        <f>IF(OR(E77="Apex Office Supplies",E77="Apex Office Supply Ltd"),"Apex Office Supplies",IF(OR(E77="Northstar IT Services",E77="North Star IT Svc"),"Northstar IT Services",IF(OR(E77="Metro Logistics",E77="Metro Logistics Pvt Ltd"),"Metro Logistics",E77)))</f>
        <v/>
      </c>
      <c r="O77" s="7">
        <f>IF(AND(ISNUMBER(L77),L77&gt;0),"Valid","Review")</f>
        <v/>
      </c>
      <c r="P77" s="7">
        <f>IF(OR(E77="",F77="",NOT(ISNUMBER(L77))),"Check Missing/Invalid Data","OK")</f>
        <v/>
      </c>
    </row>
    <row r="78">
      <c r="A78" s="7" t="inlineStr">
        <is>
          <t>PO-00007</t>
        </is>
      </c>
      <c r="B78" s="9" t="n">
        <v>45709</v>
      </c>
      <c r="C78" s="7" t="inlineStr">
        <is>
          <t>Purchase Order</t>
        </is>
      </c>
      <c r="D78" s="7" t="inlineStr">
        <is>
          <t>SUP007</t>
        </is>
      </c>
      <c r="E78" s="7">
        <f>IF(E78="","Unknown Supplier",TRIM(E78))</f>
        <v/>
      </c>
      <c r="F78" s="7">
        <f>IF(F78="","Unclassified",TRIM(F78))</f>
        <v/>
      </c>
      <c r="G78" s="7" t="inlineStr">
        <is>
          <t>Facility maintenance</t>
        </is>
      </c>
      <c r="H78" s="7" t="inlineStr">
        <is>
          <t>Technology</t>
        </is>
      </c>
      <c r="I78" s="7" t="inlineStr">
        <is>
          <t>South</t>
        </is>
      </c>
      <c r="J78" s="7" t="n">
        <v>47</v>
      </c>
      <c r="K78" s="7" t="n">
        <v>244.38</v>
      </c>
      <c r="L78" s="7" t="n">
        <v>11486.04</v>
      </c>
      <c r="M78" s="7" t="inlineStr">
        <is>
          <t>Overdue</t>
        </is>
      </c>
      <c r="N78" s="7">
        <f>IF(OR(E78="Apex Office Supplies",E78="Apex Office Supply Ltd"),"Apex Office Supplies",IF(OR(E78="Northstar IT Services",E78="North Star IT Svc"),"Northstar IT Services",IF(OR(E78="Metro Logistics",E78="Metro Logistics Pvt Ltd"),"Metro Logistics",E78)))</f>
        <v/>
      </c>
      <c r="O78" s="7">
        <f>IF(AND(ISNUMBER(L78),L78&gt;0),"Valid","Review")</f>
        <v/>
      </c>
      <c r="P78" s="7">
        <f>IF(OR(E78="",F78="",NOT(ISNUMBER(L78))),"Check Missing/Invalid Data","OK")</f>
        <v/>
      </c>
    </row>
    <row r="79">
      <c r="A79" s="7" t="inlineStr">
        <is>
          <t>PO-00567</t>
        </is>
      </c>
      <c r="B79" s="9" t="n">
        <v>45710</v>
      </c>
      <c r="C79" s="7" t="inlineStr">
        <is>
          <t>Purchase Order</t>
        </is>
      </c>
      <c r="D79" s="7" t="inlineStr">
        <is>
          <t>SUP005</t>
        </is>
      </c>
      <c r="E79" s="7">
        <f>IF(E79="","Unknown Supplier",TRIM(E79))</f>
        <v/>
      </c>
      <c r="F79" s="7">
        <f>IF(F79="","Unclassified",TRIM(F79))</f>
        <v/>
      </c>
      <c r="G79" s="7" t="inlineStr">
        <is>
          <t>Freight services</t>
        </is>
      </c>
      <c r="H79" s="7" t="inlineStr">
        <is>
          <t>Corporate</t>
        </is>
      </c>
      <c r="I79" s="7" t="inlineStr">
        <is>
          <t>South</t>
        </is>
      </c>
      <c r="J79" s="7" t="n">
        <v>94</v>
      </c>
      <c r="K79" s="7" t="n">
        <v>233.44</v>
      </c>
      <c r="L79" s="7" t="n">
        <v>21943.1</v>
      </c>
      <c r="M79" s="7" t="inlineStr">
        <is>
          <t>Paid</t>
        </is>
      </c>
      <c r="N79" s="7">
        <f>IF(OR(E79="Apex Office Supplies",E79="Apex Office Supply Ltd"),"Apex Office Supplies",IF(OR(E79="Northstar IT Services",E79="North Star IT Svc"),"Northstar IT Services",IF(OR(E79="Metro Logistics",E79="Metro Logistics Pvt Ltd"),"Metro Logistics",E79)))</f>
        <v/>
      </c>
      <c r="O79" s="7">
        <f>IF(AND(ISNUMBER(L79),L79&gt;0),"Valid","Review")</f>
        <v/>
      </c>
      <c r="P79" s="7">
        <f>IF(OR(E79="",F79="",NOT(ISNUMBER(L79))),"Check Missing/Invalid Data","OK")</f>
        <v/>
      </c>
    </row>
    <row r="80">
      <c r="A80" s="7" t="inlineStr">
        <is>
          <t>PO-00364</t>
        </is>
      </c>
      <c r="B80" s="9" t="n">
        <v>45710</v>
      </c>
      <c r="C80" s="7" t="inlineStr">
        <is>
          <t>Purchase Order</t>
        </is>
      </c>
      <c r="D80" s="7" t="inlineStr">
        <is>
          <t>SUP003</t>
        </is>
      </c>
      <c r="E80" s="7">
        <f>IF(E80="","Unknown Supplier",TRIM(E80))</f>
        <v/>
      </c>
      <c r="F80" s="7">
        <f>IF(F80="","Unclassified",TRIM(F80))</f>
        <v/>
      </c>
      <c r="G80" s="7" t="inlineStr">
        <is>
          <t>Software support</t>
        </is>
      </c>
      <c r="H80" s="7" t="inlineStr">
        <is>
          <t>Operations</t>
        </is>
      </c>
      <c r="I80" s="7" t="inlineStr">
        <is>
          <t>West</t>
        </is>
      </c>
      <c r="J80" s="7" t="n">
        <v>100</v>
      </c>
      <c r="K80" s="7" t="n">
        <v>20.79</v>
      </c>
      <c r="L80" s="7" t="n">
        <v>2078.5</v>
      </c>
      <c r="M80" s="7" t="inlineStr">
        <is>
          <t>Pending</t>
        </is>
      </c>
      <c r="N80" s="7">
        <f>IF(OR(E80="Apex Office Supplies",E80="Apex Office Supply Ltd"),"Apex Office Supplies",IF(OR(E80="Northstar IT Services",E80="North Star IT Svc"),"Northstar IT Services",IF(OR(E80="Metro Logistics",E80="Metro Logistics Pvt Ltd"),"Metro Logistics",E80)))</f>
        <v/>
      </c>
      <c r="O80" s="7">
        <f>IF(AND(ISNUMBER(L80),L80&gt;0),"Valid","Review")</f>
        <v/>
      </c>
      <c r="P80" s="7">
        <f>IF(OR(E80="",F80="",NOT(ISNUMBER(L80))),"Check Missing/Invalid Data","OK")</f>
        <v/>
      </c>
    </row>
    <row r="81">
      <c r="A81" s="7" t="inlineStr">
        <is>
          <t>PO-00301</t>
        </is>
      </c>
      <c r="B81" s="9" t="n">
        <v>45711</v>
      </c>
      <c r="C81" s="7" t="inlineStr">
        <is>
          <t>Goods Receipt</t>
        </is>
      </c>
      <c r="D81" s="7" t="inlineStr">
        <is>
          <t>SUP005</t>
        </is>
      </c>
      <c r="E81" s="7">
        <f>IF(E81="","Unknown Supplier",TRIM(E81))</f>
        <v/>
      </c>
      <c r="F81" s="7">
        <f>IF(F81="","Unclassified",TRIM(F81))</f>
        <v/>
      </c>
      <c r="G81" s="7" t="inlineStr">
        <is>
          <t>Freight services</t>
        </is>
      </c>
      <c r="H81" s="7" t="inlineStr">
        <is>
          <t>Technology</t>
        </is>
      </c>
      <c r="I81" s="7" t="inlineStr">
        <is>
          <t>East</t>
        </is>
      </c>
      <c r="J81" s="7" t="n">
        <v>15</v>
      </c>
      <c r="K81" s="7" t="n">
        <v>1962.45</v>
      </c>
      <c r="L81" s="7" t="n">
        <v>29436.68</v>
      </c>
      <c r="M81" s="7" t="inlineStr">
        <is>
          <t>Pending</t>
        </is>
      </c>
      <c r="N81" s="7">
        <f>IF(OR(E81="Apex Office Supplies",E81="Apex Office Supply Ltd"),"Apex Office Supplies",IF(OR(E81="Northstar IT Services",E81="North Star IT Svc"),"Northstar IT Services",IF(OR(E81="Metro Logistics",E81="Metro Logistics Pvt Ltd"),"Metro Logistics",E81)))</f>
        <v/>
      </c>
      <c r="O81" s="7">
        <f>IF(AND(ISNUMBER(L81),L81&gt;0),"Valid","Review")</f>
        <v/>
      </c>
      <c r="P81" s="7">
        <f>IF(OR(E81="",F81="",NOT(ISNUMBER(L81))),"Check Missing/Invalid Data","OK")</f>
        <v/>
      </c>
    </row>
    <row r="82">
      <c r="A82" s="7" t="inlineStr">
        <is>
          <t>PO-00437</t>
        </is>
      </c>
      <c r="B82" s="9" t="n">
        <v>45711</v>
      </c>
      <c r="C82" s="7" t="inlineStr">
        <is>
          <t>Purchase Order</t>
        </is>
      </c>
      <c r="D82" s="7" t="inlineStr">
        <is>
          <t>SUP009</t>
        </is>
      </c>
      <c r="E82" s="7">
        <f>IF(E82="","Unknown Supplier",TRIM(E82))</f>
        <v/>
      </c>
      <c r="F82" s="7">
        <f>IF(F82="","Unclassified",TRIM(F82))</f>
        <v/>
      </c>
      <c r="G82" s="7" t="inlineStr">
        <is>
          <t>Training services</t>
        </is>
      </c>
      <c r="H82" s="7" t="inlineStr">
        <is>
          <t>Operations</t>
        </is>
      </c>
      <c r="I82" s="7" t="inlineStr">
        <is>
          <t>South</t>
        </is>
      </c>
      <c r="J82" s="7" t="n">
        <v>15</v>
      </c>
      <c r="K82" s="7" t="n">
        <v>252.18</v>
      </c>
      <c r="L82" s="7" t="n">
        <v>3782.66</v>
      </c>
      <c r="M82" s="7" t="inlineStr">
        <is>
          <t>Pending</t>
        </is>
      </c>
      <c r="N82" s="7">
        <f>IF(OR(E82="Apex Office Supplies",E82="Apex Office Supply Ltd"),"Apex Office Supplies",IF(OR(E82="Northstar IT Services",E82="North Star IT Svc"),"Northstar IT Services",IF(OR(E82="Metro Logistics",E82="Metro Logistics Pvt Ltd"),"Metro Logistics",E82)))</f>
        <v/>
      </c>
      <c r="O82" s="7">
        <f>IF(AND(ISNUMBER(L82),L82&gt;0),"Valid","Review")</f>
        <v/>
      </c>
      <c r="P82" s="7">
        <f>IF(OR(E82="",F82="",NOT(ISNUMBER(L82))),"Check Missing/Invalid Data","OK")</f>
        <v/>
      </c>
    </row>
    <row r="83">
      <c r="A83" s="7" t="inlineStr">
        <is>
          <t>PO-00036</t>
        </is>
      </c>
      <c r="B83" s="9" t="n">
        <v>45711</v>
      </c>
      <c r="C83" s="7" t="inlineStr">
        <is>
          <t>Goods Receipt</t>
        </is>
      </c>
      <c r="D83" s="7" t="inlineStr">
        <is>
          <t>SUP003</t>
        </is>
      </c>
      <c r="E83" s="7">
        <f>IF(E83="","Unknown Supplier",TRIM(E83))</f>
        <v/>
      </c>
      <c r="F83" s="7">
        <f>IF(F83="","Unclassified",TRIM(F83))</f>
        <v/>
      </c>
      <c r="G83" s="7" t="inlineStr">
        <is>
          <t>Software support</t>
        </is>
      </c>
      <c r="H83" s="7" t="inlineStr">
        <is>
          <t>Technology</t>
        </is>
      </c>
      <c r="I83" s="7" t="inlineStr">
        <is>
          <t>East</t>
        </is>
      </c>
      <c r="J83" s="7" t="n">
        <v>96</v>
      </c>
      <c r="K83" s="7" t="n">
        <v>283.83</v>
      </c>
      <c r="L83" s="7" t="n">
        <v>27247.71</v>
      </c>
      <c r="M83" s="7" t="inlineStr">
        <is>
          <t>Overdue</t>
        </is>
      </c>
      <c r="N83" s="7">
        <f>IF(OR(E83="Apex Office Supplies",E83="Apex Office Supply Ltd"),"Apex Office Supplies",IF(OR(E83="Northstar IT Services",E83="North Star IT Svc"),"Northstar IT Services",IF(OR(E83="Metro Logistics",E83="Metro Logistics Pvt Ltd"),"Metro Logistics",E83)))</f>
        <v/>
      </c>
      <c r="O83" s="7">
        <f>IF(AND(ISNUMBER(L83),L83&gt;0),"Valid","Review")</f>
        <v/>
      </c>
      <c r="P83" s="7">
        <f>IF(OR(E83="",F83="",NOT(ISNUMBER(L83))),"Check Missing/Invalid Data","OK")</f>
        <v/>
      </c>
    </row>
    <row r="84">
      <c r="A84" s="7" t="inlineStr">
        <is>
          <t>PO-00116</t>
        </is>
      </c>
      <c r="B84" s="9" t="n">
        <v>45712</v>
      </c>
      <c r="C84" s="7" t="inlineStr">
        <is>
          <t>Goods Receipt</t>
        </is>
      </c>
      <c r="D84" s="7" t="inlineStr">
        <is>
          <t>SUP004</t>
        </is>
      </c>
      <c r="E84" s="7">
        <f>IF(E84="","Unknown Supplier",TRIM(E84))</f>
        <v/>
      </c>
      <c r="F84" s="7">
        <f>IF(F84="","Unclassified",TRIM(F84))</f>
        <v/>
      </c>
      <c r="G84" s="7" t="inlineStr">
        <is>
          <t>Cloud services</t>
        </is>
      </c>
      <c r="H84" s="7" t="inlineStr">
        <is>
          <t>Corporate</t>
        </is>
      </c>
      <c r="I84" s="7" t="inlineStr">
        <is>
          <t>West</t>
        </is>
      </c>
      <c r="J84" s="7" t="n">
        <v>38</v>
      </c>
      <c r="K84" s="7" t="n">
        <v>292.5</v>
      </c>
      <c r="L84" s="7" t="n">
        <v>11114.92</v>
      </c>
      <c r="M84" s="7" t="inlineStr">
        <is>
          <t>Pending</t>
        </is>
      </c>
      <c r="N84" s="7">
        <f>IF(OR(E84="Apex Office Supplies",E84="Apex Office Supply Ltd"),"Apex Office Supplies",IF(OR(E84="Northstar IT Services",E84="North Star IT Svc"),"Northstar IT Services",IF(OR(E84="Metro Logistics",E84="Metro Logistics Pvt Ltd"),"Metro Logistics",E84)))</f>
        <v/>
      </c>
      <c r="O84" s="7">
        <f>IF(AND(ISNUMBER(L84),L84&gt;0),"Valid","Review")</f>
        <v/>
      </c>
      <c r="P84" s="7">
        <f>IF(OR(E84="",F84="",NOT(ISNUMBER(L84))),"Check Missing/Invalid Data","OK")</f>
        <v/>
      </c>
    </row>
    <row r="85">
      <c r="A85" s="7" t="inlineStr">
        <is>
          <t>PO-00537</t>
        </is>
      </c>
      <c r="B85" s="9" t="n">
        <v>45712</v>
      </c>
      <c r="C85" s="7" t="inlineStr">
        <is>
          <t>Invoice</t>
        </is>
      </c>
      <c r="D85" s="7" t="inlineStr">
        <is>
          <t>SUP002</t>
        </is>
      </c>
      <c r="E85" s="7">
        <f>IF(E85="","Unknown Supplier",TRIM(E85))</f>
        <v/>
      </c>
      <c r="F85" s="7">
        <f>IF(F85="","Unclassified",TRIM(F85))</f>
        <v/>
      </c>
      <c r="G85" s="7" t="inlineStr">
        <is>
          <t>Toner cartridges</t>
        </is>
      </c>
      <c r="H85" s="7" t="inlineStr">
        <is>
          <t>Corporate</t>
        </is>
      </c>
      <c r="I85" s="7" t="inlineStr">
        <is>
          <t>North</t>
        </is>
      </c>
      <c r="J85" s="7" t="n">
        <v>85</v>
      </c>
      <c r="K85" s="7" t="n">
        <v>143.57</v>
      </c>
      <c r="L85" s="7" t="n">
        <v>12203.52</v>
      </c>
      <c r="M85" s="7" t="inlineStr">
        <is>
          <t>Pending</t>
        </is>
      </c>
      <c r="N85" s="7">
        <f>IF(OR(E85="Apex Office Supplies",E85="Apex Office Supply Ltd"),"Apex Office Supplies",IF(OR(E85="Northstar IT Services",E85="North Star IT Svc"),"Northstar IT Services",IF(OR(E85="Metro Logistics",E85="Metro Logistics Pvt Ltd"),"Metro Logistics",E85)))</f>
        <v/>
      </c>
      <c r="O85" s="7">
        <f>IF(AND(ISNUMBER(L85),L85&gt;0),"Valid","Review")</f>
        <v/>
      </c>
      <c r="P85" s="7">
        <f>IF(OR(E85="",F85="",NOT(ISNUMBER(L85))),"Check Missing/Invalid Data","OK")</f>
        <v/>
      </c>
    </row>
    <row r="86">
      <c r="A86" s="7" t="inlineStr">
        <is>
          <t>PO-00016</t>
        </is>
      </c>
      <c r="B86" s="9" t="n">
        <v>45712</v>
      </c>
      <c r="C86" s="7" t="inlineStr">
        <is>
          <t>Purchase Order</t>
        </is>
      </c>
      <c r="D86" s="7" t="inlineStr">
        <is>
          <t>SUP011</t>
        </is>
      </c>
      <c r="E86" s="7">
        <f>IF(E86="","Unknown Supplier",TRIM(E86))</f>
        <v/>
      </c>
      <c r="F86" s="7">
        <f>IF(F86="","Unclassified",TRIM(F86))</f>
        <v/>
      </c>
      <c r="G86" s="7" t="inlineStr">
        <is>
          <t>Digital campaign</t>
        </is>
      </c>
      <c r="H86" s="7" t="inlineStr">
        <is>
          <t>Technology</t>
        </is>
      </c>
      <c r="I86" s="7" t="inlineStr">
        <is>
          <t>South</t>
        </is>
      </c>
      <c r="J86" s="7" t="n">
        <v>78</v>
      </c>
      <c r="K86" s="7" t="n">
        <v>148.01</v>
      </c>
      <c r="L86" s="7" t="n">
        <v>11544.42</v>
      </c>
      <c r="M86" s="7" t="inlineStr">
        <is>
          <t>Overdue</t>
        </is>
      </c>
      <c r="N86" s="7">
        <f>IF(OR(E86="Apex Office Supplies",E86="Apex Office Supply Ltd"),"Apex Office Supplies",IF(OR(E86="Northstar IT Services",E86="North Star IT Svc"),"Northstar IT Services",IF(OR(E86="Metro Logistics",E86="Metro Logistics Pvt Ltd"),"Metro Logistics",E86)))</f>
        <v/>
      </c>
      <c r="O86" s="7">
        <f>IF(AND(ISNUMBER(L86),L86&gt;0),"Valid","Review")</f>
        <v/>
      </c>
      <c r="P86" s="7">
        <f>IF(OR(E86="",F86="",NOT(ISNUMBER(L86))),"Check Missing/Invalid Data","OK")</f>
        <v/>
      </c>
    </row>
    <row r="87">
      <c r="A87" s="7" t="inlineStr">
        <is>
          <t>PO-00069</t>
        </is>
      </c>
      <c r="B87" s="9" t="n">
        <v>45713</v>
      </c>
      <c r="C87" s="7" t="inlineStr">
        <is>
          <t>Invoice</t>
        </is>
      </c>
      <c r="D87" s="7" t="inlineStr">
        <is>
          <t>SUP010</t>
        </is>
      </c>
      <c r="E87" s="7">
        <f>IF(E87="","Unknown Supplier",TRIM(E87))</f>
        <v/>
      </c>
      <c r="F87" s="7">
        <f>IF(F87="","Unclassified",TRIM(F87))</f>
        <v/>
      </c>
      <c r="G87" s="7" t="inlineStr">
        <is>
          <t>Protective packaging</t>
        </is>
      </c>
      <c r="H87" s="7" t="inlineStr">
        <is>
          <t>Operations</t>
        </is>
      </c>
      <c r="I87" s="7" t="inlineStr">
        <is>
          <t>North</t>
        </is>
      </c>
      <c r="J87" s="7" t="n">
        <v>117</v>
      </c>
      <c r="K87" s="7" t="n">
        <v>89.02</v>
      </c>
      <c r="L87" s="7" t="n">
        <v>10415.25</v>
      </c>
      <c r="M87" s="7" t="inlineStr">
        <is>
          <t>Overdue</t>
        </is>
      </c>
      <c r="N87" s="7">
        <f>IF(OR(E87="Apex Office Supplies",E87="Apex Office Supply Ltd"),"Apex Office Supplies",IF(OR(E87="Northstar IT Services",E87="North Star IT Svc"),"Northstar IT Services",IF(OR(E87="Metro Logistics",E87="Metro Logistics Pvt Ltd"),"Metro Logistics",E87)))</f>
        <v/>
      </c>
      <c r="O87" s="7">
        <f>IF(AND(ISNUMBER(L87),L87&gt;0),"Valid","Review")</f>
        <v/>
      </c>
      <c r="P87" s="7">
        <f>IF(OR(E87="",F87="",NOT(ISNUMBER(L87))),"Check Missing/Invalid Data","OK")</f>
        <v/>
      </c>
    </row>
    <row r="88">
      <c r="A88" s="7" t="inlineStr">
        <is>
          <t>PO-00013</t>
        </is>
      </c>
      <c r="B88" s="9" t="n">
        <v>45714</v>
      </c>
      <c r="C88" s="7" t="inlineStr">
        <is>
          <t>Goods Receipt</t>
        </is>
      </c>
      <c r="D88" s="7" t="inlineStr">
        <is>
          <t>SUP003</t>
        </is>
      </c>
      <c r="E88" s="7">
        <f>IF(E88="","Unknown Supplier",TRIM(E88))</f>
        <v/>
      </c>
      <c r="F88" s="7">
        <f>IF(F88="","Unclassified",TRIM(F88))</f>
        <v/>
      </c>
      <c r="G88" s="7" t="inlineStr">
        <is>
          <t>Software support</t>
        </is>
      </c>
      <c r="H88" s="7" t="inlineStr">
        <is>
          <t>Sales</t>
        </is>
      </c>
      <c r="I88" s="7" t="inlineStr">
        <is>
          <t>West</t>
        </is>
      </c>
      <c r="J88" s="7" t="n">
        <v>55</v>
      </c>
      <c r="K88" s="7" t="n">
        <v>441.46</v>
      </c>
      <c r="L88" s="7" t="n">
        <v>24280.04</v>
      </c>
      <c r="M88" s="7" t="inlineStr">
        <is>
          <t>Overdue</t>
        </is>
      </c>
      <c r="N88" s="7">
        <f>IF(OR(E88="Apex Office Supplies",E88="Apex Office Supply Ltd"),"Apex Office Supplies",IF(OR(E88="Northstar IT Services",E88="North Star IT Svc"),"Northstar IT Services",IF(OR(E88="Metro Logistics",E88="Metro Logistics Pvt Ltd"),"Metro Logistics",E88)))</f>
        <v/>
      </c>
      <c r="O88" s="7">
        <f>IF(AND(ISNUMBER(L88),L88&gt;0),"Valid","Review")</f>
        <v/>
      </c>
      <c r="P88" s="7">
        <f>IF(OR(E88="",F88="",NOT(ISNUMBER(L88))),"Check Missing/Invalid Data","OK")</f>
        <v/>
      </c>
    </row>
    <row r="89">
      <c r="A89" s="7" t="inlineStr">
        <is>
          <t>PO-00133</t>
        </is>
      </c>
      <c r="B89" s="9" t="n">
        <v>45714</v>
      </c>
      <c r="C89" s="7" t="inlineStr">
        <is>
          <t>Purchase Order</t>
        </is>
      </c>
      <c r="D89" s="7" t="inlineStr">
        <is>
          <t>SUP011</t>
        </is>
      </c>
      <c r="E89" s="7">
        <f>IF(E89="","Unknown Supplier",TRIM(E89))</f>
        <v/>
      </c>
      <c r="F89" s="7">
        <f>IF(F89="","Unclassified",TRIM(F89))</f>
        <v/>
      </c>
      <c r="G89" s="7" t="inlineStr">
        <is>
          <t>Promotional materials</t>
        </is>
      </c>
      <c r="H89" s="7" t="inlineStr">
        <is>
          <t>Technology</t>
        </is>
      </c>
      <c r="I89" s="7" t="inlineStr">
        <is>
          <t>North</t>
        </is>
      </c>
      <c r="J89" s="7" t="n">
        <v>46</v>
      </c>
      <c r="K89" s="7" t="n">
        <v>53.84</v>
      </c>
      <c r="L89" s="7" t="n">
        <v>2476.64</v>
      </c>
      <c r="M89" s="7" t="inlineStr">
        <is>
          <t>Paid</t>
        </is>
      </c>
      <c r="N89" s="7">
        <f>IF(OR(E89="Apex Office Supplies",E89="Apex Office Supply Ltd"),"Apex Office Supplies",IF(OR(E89="Northstar IT Services",E89="North Star IT Svc"),"Northstar IT Services",IF(OR(E89="Metro Logistics",E89="Metro Logistics Pvt Ltd"),"Metro Logistics",E89)))</f>
        <v/>
      </c>
      <c r="O89" s="7">
        <f>IF(AND(ISNUMBER(L89),L89&gt;0),"Valid","Review")</f>
        <v/>
      </c>
      <c r="P89" s="7">
        <f>IF(OR(E89="",F89="",NOT(ISNUMBER(L89))),"Check Missing/Invalid Data","OK")</f>
        <v/>
      </c>
    </row>
    <row r="90">
      <c r="A90" s="7" t="inlineStr">
        <is>
          <t>PO-00252</t>
        </is>
      </c>
      <c r="B90" s="9" t="n">
        <v>45715</v>
      </c>
      <c r="C90" s="7" t="inlineStr">
        <is>
          <t>Purchase Order</t>
        </is>
      </c>
      <c r="D90" s="7" t="inlineStr">
        <is>
          <t>SUP001</t>
        </is>
      </c>
      <c r="E90" s="7">
        <f>IF(E90="","Unknown Supplier",TRIM(E90))</f>
        <v/>
      </c>
      <c r="F90" s="7">
        <f>IF(F90="","Unclassified",TRIM(F90))</f>
        <v/>
      </c>
      <c r="G90" s="7" t="inlineStr">
        <is>
          <t>Printer paper</t>
        </is>
      </c>
      <c r="H90" s="7" t="inlineStr">
        <is>
          <t>Operations</t>
        </is>
      </c>
      <c r="I90" s="7" t="inlineStr">
        <is>
          <t>North</t>
        </is>
      </c>
      <c r="J90" s="7" t="n">
        <v>99</v>
      </c>
      <c r="K90" s="7" t="n">
        <v>76.93000000000001</v>
      </c>
      <c r="M90" s="7" t="inlineStr">
        <is>
          <t>Paid</t>
        </is>
      </c>
      <c r="N90" s="7">
        <f>IF(OR(E90="Apex Office Supplies",E90="Apex Office Supply Ltd"),"Apex Office Supplies",IF(OR(E90="Northstar IT Services",E90="North Star IT Svc"),"Northstar IT Services",IF(OR(E90="Metro Logistics",E90="Metro Logistics Pvt Ltd"),"Metro Logistics",E90)))</f>
        <v/>
      </c>
      <c r="O90" s="7">
        <f>IF(AND(ISNUMBER(L90),L90&gt;0),"Valid","Review")</f>
        <v/>
      </c>
      <c r="P90" s="7">
        <f>IF(OR(E90="",F90="",NOT(ISNUMBER(L90))),"Check Missing/Invalid Data","OK")</f>
        <v/>
      </c>
    </row>
    <row r="91">
      <c r="A91" s="7" t="inlineStr">
        <is>
          <t>PO-00447</t>
        </is>
      </c>
      <c r="B91" s="9" t="n">
        <v>45715</v>
      </c>
      <c r="C91" s="7" t="inlineStr">
        <is>
          <t>Invoice</t>
        </is>
      </c>
      <c r="D91" s="7" t="inlineStr">
        <is>
          <t>SUP007</t>
        </is>
      </c>
      <c r="E91" s="7">
        <f>IF(E91="","Unknown Supplier",TRIM(E91))</f>
        <v/>
      </c>
      <c r="F91" s="7">
        <f>IF(F91="","Unclassified",TRIM(F91))</f>
        <v/>
      </c>
      <c r="G91" s="7" t="inlineStr">
        <is>
          <t>Cleaning services</t>
        </is>
      </c>
      <c r="H91" s="7" t="inlineStr">
        <is>
          <t>Manufacturing</t>
        </is>
      </c>
      <c r="I91" s="7" t="inlineStr">
        <is>
          <t>South</t>
        </is>
      </c>
      <c r="J91" s="7" t="n">
        <v>84</v>
      </c>
      <c r="K91" s="7" t="n">
        <v>14.91</v>
      </c>
      <c r="L91" s="7" t="n">
        <v>1252.45</v>
      </c>
      <c r="M91" s="7" t="inlineStr">
        <is>
          <t>Overdue</t>
        </is>
      </c>
      <c r="N91" s="7">
        <f>IF(OR(E91="Apex Office Supplies",E91="Apex Office Supply Ltd"),"Apex Office Supplies",IF(OR(E91="Northstar IT Services",E91="North Star IT Svc"),"Northstar IT Services",IF(OR(E91="Metro Logistics",E91="Metro Logistics Pvt Ltd"),"Metro Logistics",E91)))</f>
        <v/>
      </c>
      <c r="O91" s="7">
        <f>IF(AND(ISNUMBER(L91),L91&gt;0),"Valid","Review")</f>
        <v/>
      </c>
      <c r="P91" s="7">
        <f>IF(OR(E91="",F91="",NOT(ISNUMBER(L91))),"Check Missing/Invalid Data","OK")</f>
        <v/>
      </c>
    </row>
    <row r="92">
      <c r="A92" s="7" t="inlineStr">
        <is>
          <t>PO-00508</t>
        </is>
      </c>
      <c r="B92" s="9" t="n">
        <v>45716</v>
      </c>
      <c r="C92" s="7" t="inlineStr">
        <is>
          <t>Purchase Order</t>
        </is>
      </c>
      <c r="D92" s="7" t="inlineStr">
        <is>
          <t>SUP008</t>
        </is>
      </c>
      <c r="E92" s="7">
        <f>IF(E92="","Unknown Supplier",TRIM(E92))</f>
        <v/>
      </c>
      <c r="F92" s="7">
        <f>IF(F92="","Unclassified",TRIM(F92))</f>
        <v/>
      </c>
      <c r="G92" s="7" t="inlineStr">
        <is>
          <t>Labels</t>
        </is>
      </c>
      <c r="H92" s="7" t="inlineStr">
        <is>
          <t>Sales</t>
        </is>
      </c>
      <c r="I92" s="7" t="inlineStr">
        <is>
          <t>North</t>
        </is>
      </c>
      <c r="J92" s="7" t="n">
        <v>76</v>
      </c>
      <c r="K92" s="7" t="n">
        <v>114.27</v>
      </c>
      <c r="L92" s="7" t="n">
        <v>8684.9</v>
      </c>
      <c r="M92" s="7" t="inlineStr">
        <is>
          <t>Paid</t>
        </is>
      </c>
      <c r="N92" s="7">
        <f>IF(OR(E92="Apex Office Supplies",E92="Apex Office Supply Ltd"),"Apex Office Supplies",IF(OR(E92="Northstar IT Services",E92="North Star IT Svc"),"Northstar IT Services",IF(OR(E92="Metro Logistics",E92="Metro Logistics Pvt Ltd"),"Metro Logistics",E92)))</f>
        <v/>
      </c>
      <c r="O92" s="7">
        <f>IF(AND(ISNUMBER(L92),L92&gt;0),"Valid","Review")</f>
        <v/>
      </c>
      <c r="P92" s="7">
        <f>IF(OR(E92="",F92="",NOT(ISNUMBER(L92))),"Check Missing/Invalid Data","OK")</f>
        <v/>
      </c>
    </row>
    <row r="93">
      <c r="A93" s="7" t="inlineStr">
        <is>
          <t>PO-00195</t>
        </is>
      </c>
      <c r="B93" s="9" t="n">
        <v>45716</v>
      </c>
      <c r="C93" s="7" t="inlineStr">
        <is>
          <t>Goods Receipt</t>
        </is>
      </c>
      <c r="D93" s="7" t="inlineStr">
        <is>
          <t>SUP001</t>
        </is>
      </c>
      <c r="E93" s="7">
        <f>IF(E93="","Unknown Supplier",TRIM(E93))</f>
        <v/>
      </c>
      <c r="F93" s="7">
        <f>IF(F93="","Unclassified",TRIM(F93))</f>
        <v/>
      </c>
      <c r="G93" s="7" t="inlineStr">
        <is>
          <t>Printer paper</t>
        </is>
      </c>
      <c r="H93" s="7" t="inlineStr">
        <is>
          <t>Technology</t>
        </is>
      </c>
      <c r="I93" s="7" t="inlineStr">
        <is>
          <t>East</t>
        </is>
      </c>
      <c r="J93" s="7" t="n">
        <v>50</v>
      </c>
      <c r="K93" s="7" t="n">
        <v>180.86</v>
      </c>
      <c r="L93" s="7" t="n">
        <v>9042.91</v>
      </c>
      <c r="M93" s="7" t="inlineStr">
        <is>
          <t>Overdue</t>
        </is>
      </c>
      <c r="N93" s="7">
        <f>IF(OR(E93="Apex Office Supplies",E93="Apex Office Supply Ltd"),"Apex Office Supplies",IF(OR(E93="Northstar IT Services",E93="North Star IT Svc"),"Northstar IT Services",IF(OR(E93="Metro Logistics",E93="Metro Logistics Pvt Ltd"),"Metro Logistics",E93)))</f>
        <v/>
      </c>
      <c r="O93" s="7">
        <f>IF(AND(ISNUMBER(L93),L93&gt;0),"Valid","Review")</f>
        <v/>
      </c>
      <c r="P93" s="7">
        <f>IF(OR(E93="",F93="",NOT(ISNUMBER(L93))),"Check Missing/Invalid Data","OK")</f>
        <v/>
      </c>
    </row>
    <row r="94">
      <c r="A94" s="7" t="inlineStr">
        <is>
          <t>PO-00293</t>
        </is>
      </c>
      <c r="B94" s="9" t="n">
        <v>45716</v>
      </c>
      <c r="C94" s="7" t="inlineStr">
        <is>
          <t>Goods Receipt</t>
        </is>
      </c>
      <c r="D94" s="7" t="inlineStr">
        <is>
          <t>SUP010</t>
        </is>
      </c>
      <c r="E94" s="7">
        <f>IF(E94="","Unknown Supplier",TRIM(E94))</f>
        <v/>
      </c>
      <c r="F94" s="7">
        <f>IF(F94="","Unclassified",TRIM(F94))</f>
        <v/>
      </c>
      <c r="G94" s="7" t="inlineStr">
        <is>
          <t>Natural gas</t>
        </is>
      </c>
      <c r="H94" s="7" t="inlineStr">
        <is>
          <t>Corporate</t>
        </is>
      </c>
      <c r="I94" s="7" t="inlineStr">
        <is>
          <t>West</t>
        </is>
      </c>
      <c r="J94" s="7" t="n">
        <v>24</v>
      </c>
      <c r="K94" s="7" t="n">
        <v>747.96</v>
      </c>
      <c r="L94" s="7" t="n">
        <v>17951.1</v>
      </c>
      <c r="M94" s="7" t="inlineStr">
        <is>
          <t>Overdue</t>
        </is>
      </c>
      <c r="N94" s="7">
        <f>IF(OR(E94="Apex Office Supplies",E94="Apex Office Supply Ltd"),"Apex Office Supplies",IF(OR(E94="Northstar IT Services",E94="North Star IT Svc"),"Northstar IT Services",IF(OR(E94="Metro Logistics",E94="Metro Logistics Pvt Ltd"),"Metro Logistics",E94)))</f>
        <v/>
      </c>
      <c r="O94" s="7">
        <f>IF(AND(ISNUMBER(L94),L94&gt;0),"Valid","Review")</f>
        <v/>
      </c>
      <c r="P94" s="7">
        <f>IF(OR(E94="",F94="",NOT(ISNUMBER(L94))),"Check Missing/Invalid Data","OK")</f>
        <v/>
      </c>
    </row>
    <row r="95">
      <c r="A95" s="7" t="inlineStr">
        <is>
          <t>PO-00478</t>
        </is>
      </c>
      <c r="B95" s="9" t="n">
        <v>45716</v>
      </c>
      <c r="C95" s="7" t="inlineStr">
        <is>
          <t>Goods Receipt</t>
        </is>
      </c>
      <c r="D95" s="7" t="inlineStr">
        <is>
          <t>SUP007</t>
        </is>
      </c>
      <c r="E95" s="7">
        <f>IF(E95="","Unknown Supplier",TRIM(E95))</f>
        <v/>
      </c>
      <c r="F95" s="7">
        <f>IF(F95="","Unclassified",TRIM(F95))</f>
        <v/>
      </c>
      <c r="G95" s="7" t="inlineStr">
        <is>
          <t>Facility maintenance</t>
        </is>
      </c>
      <c r="H95" s="7" t="inlineStr">
        <is>
          <t>Manufacturing</t>
        </is>
      </c>
      <c r="I95" s="7" t="inlineStr">
        <is>
          <t>West</t>
        </is>
      </c>
      <c r="J95" s="7" t="n">
        <v>4</v>
      </c>
      <c r="K95" s="7" t="n">
        <v>3266.17</v>
      </c>
      <c r="L95" s="7" t="n">
        <v>13064.68</v>
      </c>
      <c r="M95" s="7" t="inlineStr">
        <is>
          <t>Pending</t>
        </is>
      </c>
      <c r="N95" s="7">
        <f>IF(OR(E95="Apex Office Supplies",E95="Apex Office Supply Ltd"),"Apex Office Supplies",IF(OR(E95="Northstar IT Services",E95="North Star IT Svc"),"Northstar IT Services",IF(OR(E95="Metro Logistics",E95="Metro Logistics Pvt Ltd"),"Metro Logistics",E95)))</f>
        <v/>
      </c>
      <c r="O95" s="7">
        <f>IF(AND(ISNUMBER(L95),L95&gt;0),"Valid","Review")</f>
        <v/>
      </c>
      <c r="P95" s="7">
        <f>IF(OR(E95="",F95="",NOT(ISNUMBER(L95))),"Check Missing/Invalid Data","OK")</f>
        <v/>
      </c>
    </row>
    <row r="96">
      <c r="A96" s="7" t="inlineStr">
        <is>
          <t>PO-00435</t>
        </is>
      </c>
      <c r="B96" s="9" t="n">
        <v>45717</v>
      </c>
      <c r="C96" s="7" t="inlineStr">
        <is>
          <t>Invoice</t>
        </is>
      </c>
      <c r="D96" s="7" t="inlineStr">
        <is>
          <t>SUP007</t>
        </is>
      </c>
      <c r="E96" s="7">
        <f>IF(E96="","Unknown Supplier",TRIM(E96))</f>
        <v/>
      </c>
      <c r="F96" s="7">
        <f>IF(F96="","Unclassified",TRIM(F96))</f>
        <v/>
      </c>
      <c r="G96" s="7" t="inlineStr">
        <is>
          <t>Security services</t>
        </is>
      </c>
      <c r="H96" s="7" t="inlineStr">
        <is>
          <t>Operations</t>
        </is>
      </c>
      <c r="I96" s="7" t="inlineStr">
        <is>
          <t>South</t>
        </is>
      </c>
      <c r="J96" s="7" t="n">
        <v>33</v>
      </c>
      <c r="K96" s="7" t="n">
        <v>70.59999999999999</v>
      </c>
      <c r="L96" s="7" t="n">
        <v>2329.88</v>
      </c>
      <c r="M96" s="7" t="inlineStr">
        <is>
          <t>Overdue</t>
        </is>
      </c>
      <c r="N96" s="7">
        <f>IF(OR(E96="Apex Office Supplies",E96="Apex Office Supply Ltd"),"Apex Office Supplies",IF(OR(E96="Northstar IT Services",E96="North Star IT Svc"),"Northstar IT Services",IF(OR(E96="Metro Logistics",E96="Metro Logistics Pvt Ltd"),"Metro Logistics",E96)))</f>
        <v/>
      </c>
      <c r="O96" s="7">
        <f>IF(AND(ISNUMBER(L96),L96&gt;0),"Valid","Review")</f>
        <v/>
      </c>
      <c r="P96" s="7">
        <f>IF(OR(E96="",F96="",NOT(ISNUMBER(L96))),"Check Missing/Invalid Data","OK")</f>
        <v/>
      </c>
    </row>
    <row r="97">
      <c r="A97" s="7" t="inlineStr">
        <is>
          <t>PO-00442</t>
        </is>
      </c>
      <c r="B97" s="9" t="n">
        <v>45717</v>
      </c>
      <c r="C97" s="7" t="inlineStr">
        <is>
          <t>Purchase Order</t>
        </is>
      </c>
      <c r="D97" s="7" t="inlineStr">
        <is>
          <t>SUP002</t>
        </is>
      </c>
      <c r="E97" s="7">
        <f>IF(E97="","Unknown Supplier",TRIM(E97))</f>
        <v/>
      </c>
      <c r="F97" s="7">
        <f>IF(F97="","Unclassified",TRIM(F97))</f>
        <v/>
      </c>
      <c r="G97" s="7" t="inlineStr">
        <is>
          <t>Toner cartridges</t>
        </is>
      </c>
      <c r="H97" s="7" t="inlineStr">
        <is>
          <t>Operations</t>
        </is>
      </c>
      <c r="I97" s="7" t="inlineStr">
        <is>
          <t>East</t>
        </is>
      </c>
      <c r="J97" s="7" t="n">
        <v>2</v>
      </c>
      <c r="K97" s="7" t="n">
        <v>8019.21</v>
      </c>
      <c r="L97" s="7" t="n">
        <v>16038.42</v>
      </c>
      <c r="M97" s="7" t="inlineStr">
        <is>
          <t>Pending</t>
        </is>
      </c>
      <c r="N97" s="7">
        <f>IF(OR(E97="Apex Office Supplies",E97="Apex Office Supply Ltd"),"Apex Office Supplies",IF(OR(E97="Northstar IT Services",E97="North Star IT Svc"),"Northstar IT Services",IF(OR(E97="Metro Logistics",E97="Metro Logistics Pvt Ltd"),"Metro Logistics",E97)))</f>
        <v/>
      </c>
      <c r="O97" s="7">
        <f>IF(AND(ISNUMBER(L97),L97&gt;0),"Valid","Review")</f>
        <v/>
      </c>
      <c r="P97" s="7">
        <f>IF(OR(E97="",F97="",NOT(ISNUMBER(L97))),"Check Missing/Invalid Data","OK")</f>
        <v/>
      </c>
    </row>
    <row r="98">
      <c r="A98" s="7" t="inlineStr">
        <is>
          <t>PO-00531</t>
        </is>
      </c>
      <c r="B98" s="9" t="n">
        <v>45717</v>
      </c>
      <c r="C98" s="7" t="inlineStr">
        <is>
          <t>Goods Receipt</t>
        </is>
      </c>
      <c r="D98" s="7" t="inlineStr">
        <is>
          <t>SUP009</t>
        </is>
      </c>
      <c r="E98" s="7">
        <f>IF(E98="","Unknown Supplier",TRIM(E98))</f>
        <v/>
      </c>
      <c r="F98" s="7">
        <f>IF(F98="","Unclassified",TRIM(F98))</f>
        <v/>
      </c>
      <c r="G98" s="7" t="inlineStr">
        <is>
          <t>Training services</t>
        </is>
      </c>
      <c r="H98" s="7" t="inlineStr">
        <is>
          <t>Sales</t>
        </is>
      </c>
      <c r="I98" s="7" t="inlineStr">
        <is>
          <t>West</t>
        </is>
      </c>
      <c r="J98" s="7" t="n">
        <v>105</v>
      </c>
      <c r="K98" s="7" t="n">
        <v>255.57</v>
      </c>
      <c r="L98" s="7" t="n">
        <v>26834.33</v>
      </c>
      <c r="M98" s="7" t="inlineStr">
        <is>
          <t>Overdue</t>
        </is>
      </c>
      <c r="N98" s="7">
        <f>IF(OR(E98="Apex Office Supplies",E98="Apex Office Supply Ltd"),"Apex Office Supplies",IF(OR(E98="Northstar IT Services",E98="North Star IT Svc"),"Northstar IT Services",IF(OR(E98="Metro Logistics",E98="Metro Logistics Pvt Ltd"),"Metro Logistics",E98)))</f>
        <v/>
      </c>
      <c r="O98" s="7">
        <f>IF(AND(ISNUMBER(L98),L98&gt;0),"Valid","Review")</f>
        <v/>
      </c>
      <c r="P98" s="7">
        <f>IF(OR(E98="",F98="",NOT(ISNUMBER(L98))),"Check Missing/Invalid Data","OK")</f>
        <v/>
      </c>
    </row>
    <row r="99">
      <c r="A99" s="7" t="inlineStr">
        <is>
          <t>PO-00533</t>
        </is>
      </c>
      <c r="B99" s="9" t="n">
        <v>45717</v>
      </c>
      <c r="C99" s="7" t="inlineStr">
        <is>
          <t>Invoice</t>
        </is>
      </c>
      <c r="D99" s="7" t="inlineStr">
        <is>
          <t>SUP005</t>
        </is>
      </c>
      <c r="E99" s="7">
        <f>IF(E99="","Unknown Supplier",TRIM(E99))</f>
        <v/>
      </c>
      <c r="F99" s="7">
        <f>IF(F99="","Unclassified",TRIM(F99))</f>
        <v/>
      </c>
      <c r="G99" s="7" t="inlineStr">
        <is>
          <t>Facility maintenance</t>
        </is>
      </c>
      <c r="H99" s="7" t="inlineStr">
        <is>
          <t>Technology</t>
        </is>
      </c>
      <c r="I99" s="7" t="inlineStr">
        <is>
          <t>North</t>
        </is>
      </c>
      <c r="J99" s="7" t="n">
        <v>30</v>
      </c>
      <c r="K99" s="7" t="n">
        <v>407.44</v>
      </c>
      <c r="L99" s="7" t="n">
        <v>12223.2</v>
      </c>
      <c r="M99" s="7" t="inlineStr">
        <is>
          <t>Overdue</t>
        </is>
      </c>
      <c r="N99" s="7">
        <f>IF(OR(E99="Apex Office Supplies",E99="Apex Office Supply Ltd"),"Apex Office Supplies",IF(OR(E99="Northstar IT Services",E99="North Star IT Svc"),"Northstar IT Services",IF(OR(E99="Metro Logistics",E99="Metro Logistics Pvt Ltd"),"Metro Logistics",E99)))</f>
        <v/>
      </c>
      <c r="O99" s="7">
        <f>IF(AND(ISNUMBER(L99),L99&gt;0),"Valid","Review")</f>
        <v/>
      </c>
      <c r="P99" s="7">
        <f>IF(OR(E99="",F99="",NOT(ISNUMBER(L99))),"Check Missing/Invalid Data","OK")</f>
        <v/>
      </c>
    </row>
    <row r="100">
      <c r="A100" s="7" t="inlineStr">
        <is>
          <t>PO-00424</t>
        </is>
      </c>
      <c r="B100" s="9" t="n">
        <v>45718</v>
      </c>
      <c r="C100" s="7" t="inlineStr">
        <is>
          <t>Goods Receipt</t>
        </is>
      </c>
      <c r="D100" s="7" t="inlineStr">
        <is>
          <t>SUP008</t>
        </is>
      </c>
      <c r="E100" s="7">
        <f>IF(E100="","Unknown Supplier",TRIM(E100))</f>
        <v/>
      </c>
      <c r="F100" s="7">
        <f>IF(F100="","Unclassified",TRIM(F100))</f>
        <v/>
      </c>
      <c r="G100" s="7" t="inlineStr">
        <is>
          <t>Software support</t>
        </is>
      </c>
      <c r="H100" s="7" t="inlineStr">
        <is>
          <t>Sales</t>
        </is>
      </c>
      <c r="I100" s="7" t="inlineStr">
        <is>
          <t>East</t>
        </is>
      </c>
      <c r="J100" s="7" t="n">
        <v>25</v>
      </c>
      <c r="K100" s="7" t="n">
        <v>582.3</v>
      </c>
      <c r="L100" s="7" t="n">
        <v>14557.59</v>
      </c>
      <c r="M100" s="7" t="inlineStr">
        <is>
          <t>Pending</t>
        </is>
      </c>
      <c r="N100" s="7">
        <f>IF(OR(E100="Apex Office Supplies",E100="Apex Office Supply Ltd"),"Apex Office Supplies",IF(OR(E100="Northstar IT Services",E100="North Star IT Svc"),"Northstar IT Services",IF(OR(E100="Metro Logistics",E100="Metro Logistics Pvt Ltd"),"Metro Logistics",E100)))</f>
        <v/>
      </c>
      <c r="O100" s="7">
        <f>IF(AND(ISNUMBER(L100),L100&gt;0),"Valid","Review")</f>
        <v/>
      </c>
      <c r="P100" s="7">
        <f>IF(OR(E100="",F100="",NOT(ISNUMBER(L100))),"Check Missing/Invalid Data","OK")</f>
        <v/>
      </c>
    </row>
    <row r="101">
      <c r="A101" s="7" t="inlineStr">
        <is>
          <t>PO-00522</t>
        </is>
      </c>
      <c r="B101" s="9" t="n">
        <v>45718</v>
      </c>
      <c r="C101" s="7" t="inlineStr">
        <is>
          <t>Purchase Order</t>
        </is>
      </c>
      <c r="D101" s="7" t="inlineStr">
        <is>
          <t>SUP012</t>
        </is>
      </c>
      <c r="E101" s="7">
        <f>IF(E101="","Unknown Supplier",TRIM(E101))</f>
        <v/>
      </c>
      <c r="F101" s="7">
        <f>IF(F101="","Unclassified",TRIM(F101))</f>
        <v/>
      </c>
      <c r="G101" s="7" t="inlineStr">
        <is>
          <t>Repair parts</t>
        </is>
      </c>
      <c r="H101" s="7" t="inlineStr">
        <is>
          <t>Manufacturing</t>
        </is>
      </c>
      <c r="I101" s="7" t="inlineStr">
        <is>
          <t>West</t>
        </is>
      </c>
      <c r="J101" s="7" t="n">
        <v>21</v>
      </c>
      <c r="K101" s="7" t="n">
        <v>672.48</v>
      </c>
      <c r="L101" s="7" t="n">
        <v>14121.99</v>
      </c>
      <c r="M101" s="7" t="inlineStr">
        <is>
          <t>Pending</t>
        </is>
      </c>
      <c r="N101" s="7">
        <f>IF(OR(E101="Apex Office Supplies",E101="Apex Office Supply Ltd"),"Apex Office Supplies",IF(OR(E101="Northstar IT Services",E101="North Star IT Svc"),"Northstar IT Services",IF(OR(E101="Metro Logistics",E101="Metro Logistics Pvt Ltd"),"Metro Logistics",E101)))</f>
        <v/>
      </c>
      <c r="O101" s="7">
        <f>IF(AND(ISNUMBER(L101),L101&gt;0),"Valid","Review")</f>
        <v/>
      </c>
      <c r="P101" s="7">
        <f>IF(OR(E101="",F101="",NOT(ISNUMBER(L101))),"Check Missing/Invalid Data","OK")</f>
        <v/>
      </c>
    </row>
    <row r="102">
      <c r="A102" s="7" t="inlineStr">
        <is>
          <t>PO-00361</t>
        </is>
      </c>
      <c r="B102" s="9" t="n">
        <v>45719</v>
      </c>
      <c r="C102" s="7" t="inlineStr">
        <is>
          <t>Goods Receipt</t>
        </is>
      </c>
      <c r="D102" s="7" t="inlineStr">
        <is>
          <t>SUP002</t>
        </is>
      </c>
      <c r="E102" s="7">
        <f>IF(E102="","Unknown Supplier",TRIM(E102))</f>
        <v/>
      </c>
      <c r="F102" s="7">
        <f>IF(F102="","Unclassified",TRIM(F102))</f>
        <v/>
      </c>
      <c r="G102" s="7" t="inlineStr">
        <is>
          <t>Toner cartridges</t>
        </is>
      </c>
      <c r="H102" s="7" t="inlineStr">
        <is>
          <t>Manufacturing</t>
        </is>
      </c>
      <c r="I102" s="7" t="inlineStr">
        <is>
          <t>North</t>
        </is>
      </c>
      <c r="J102" s="7" t="n">
        <v>106</v>
      </c>
      <c r="K102" s="7" t="n">
        <v>116.86</v>
      </c>
      <c r="L102" s="7" t="n">
        <v>12386.66</v>
      </c>
      <c r="M102" s="7" t="inlineStr">
        <is>
          <t>Paid</t>
        </is>
      </c>
      <c r="N102" s="7">
        <f>IF(OR(E102="Apex Office Supplies",E102="Apex Office Supply Ltd"),"Apex Office Supplies",IF(OR(E102="Northstar IT Services",E102="North Star IT Svc"),"Northstar IT Services",IF(OR(E102="Metro Logistics",E102="Metro Logistics Pvt Ltd"),"Metro Logistics",E102)))</f>
        <v/>
      </c>
      <c r="O102" s="7">
        <f>IF(AND(ISNUMBER(L102),L102&gt;0),"Valid","Review")</f>
        <v/>
      </c>
      <c r="P102" s="7">
        <f>IF(OR(E102="",F102="",NOT(ISNUMBER(L102))),"Check Missing/Invalid Data","OK")</f>
        <v/>
      </c>
    </row>
    <row r="103">
      <c r="A103" s="7" t="inlineStr">
        <is>
          <t>PO-00142</t>
        </is>
      </c>
      <c r="B103" s="9" t="n">
        <v>45720</v>
      </c>
      <c r="C103" s="7" t="inlineStr">
        <is>
          <t>Invoice</t>
        </is>
      </c>
      <c r="D103" s="7" t="inlineStr">
        <is>
          <t>SUP007</t>
        </is>
      </c>
      <c r="E103" s="7">
        <f>IF(E103="","Unknown Supplier",TRIM(E103))</f>
        <v/>
      </c>
      <c r="F103" s="7">
        <f>IF(F103="","Unclassified",TRIM(F103))</f>
        <v/>
      </c>
      <c r="G103" s="7" t="inlineStr">
        <is>
          <t>Security services</t>
        </is>
      </c>
      <c r="H103" s="7" t="inlineStr">
        <is>
          <t>Corporate</t>
        </is>
      </c>
      <c r="I103" s="7" t="inlineStr">
        <is>
          <t>East</t>
        </is>
      </c>
      <c r="J103" s="7" t="n">
        <v>97</v>
      </c>
      <c r="K103" s="7" t="n">
        <v>123.88</v>
      </c>
      <c r="L103" s="7" t="n">
        <v>12016.29</v>
      </c>
      <c r="M103" s="7" t="inlineStr">
        <is>
          <t>Overdue</t>
        </is>
      </c>
      <c r="N103" s="7">
        <f>IF(OR(E103="Apex Office Supplies",E103="Apex Office Supply Ltd"),"Apex Office Supplies",IF(OR(E103="Northstar IT Services",E103="North Star IT Svc"),"Northstar IT Services",IF(OR(E103="Metro Logistics",E103="Metro Logistics Pvt Ltd"),"Metro Logistics",E103)))</f>
        <v/>
      </c>
      <c r="O103" s="7">
        <f>IF(AND(ISNUMBER(L103),L103&gt;0),"Valid","Review")</f>
        <v/>
      </c>
      <c r="P103" s="7">
        <f>IF(OR(E103="",F103="",NOT(ISNUMBER(L103))),"Check Missing/Invalid Data","OK")</f>
        <v/>
      </c>
    </row>
    <row r="104">
      <c r="A104" s="7" t="inlineStr">
        <is>
          <t>PO-00228</t>
        </is>
      </c>
      <c r="B104" s="9" t="n">
        <v>45720</v>
      </c>
      <c r="C104" s="7" t="inlineStr">
        <is>
          <t>Invoice</t>
        </is>
      </c>
      <c r="D104" s="7" t="inlineStr">
        <is>
          <t>SUP010</t>
        </is>
      </c>
      <c r="E104" s="7">
        <f>IF(E104="","Unknown Supplier",TRIM(E104))</f>
        <v/>
      </c>
      <c r="F104" s="7">
        <f>IF(F104="","Unclassified",TRIM(F104))</f>
        <v/>
      </c>
      <c r="G104" s="7" t="inlineStr">
        <is>
          <t>Electricity</t>
        </is>
      </c>
      <c r="H104" s="7" t="inlineStr">
        <is>
          <t>Technology</t>
        </is>
      </c>
      <c r="I104" s="7" t="inlineStr">
        <is>
          <t>North</t>
        </is>
      </c>
      <c r="J104" s="7" t="n">
        <v>51</v>
      </c>
      <c r="K104" s="7" t="n">
        <v>135.47</v>
      </c>
      <c r="L104" s="7" t="n">
        <v>6908.93</v>
      </c>
      <c r="M104" s="7" t="inlineStr">
        <is>
          <t>Pending</t>
        </is>
      </c>
      <c r="N104" s="7">
        <f>IF(OR(E104="Apex Office Supplies",E104="Apex Office Supply Ltd"),"Apex Office Supplies",IF(OR(E104="Northstar IT Services",E104="North Star IT Svc"),"Northstar IT Services",IF(OR(E104="Metro Logistics",E104="Metro Logistics Pvt Ltd"),"Metro Logistics",E104)))</f>
        <v/>
      </c>
      <c r="O104" s="7">
        <f>IF(AND(ISNUMBER(L104),L104&gt;0),"Valid","Review")</f>
        <v/>
      </c>
      <c r="P104" s="7">
        <f>IF(OR(E104="",F104="",NOT(ISNUMBER(L104))),"Check Missing/Invalid Data","OK")</f>
        <v/>
      </c>
    </row>
    <row r="105">
      <c r="A105" s="7" t="inlineStr">
        <is>
          <t>PO-00570</t>
        </is>
      </c>
      <c r="B105" s="9" t="n">
        <v>45720</v>
      </c>
      <c r="C105" s="7" t="inlineStr">
        <is>
          <t>Purchase Order</t>
        </is>
      </c>
      <c r="D105" s="7" t="inlineStr">
        <is>
          <t>SUP012</t>
        </is>
      </c>
      <c r="E105" s="7">
        <f>IF(E105="","Unknown Supplier",TRIM(E105))</f>
        <v/>
      </c>
      <c r="F105" s="7">
        <f>IF(F105="","Unclassified",TRIM(F105))</f>
        <v/>
      </c>
      <c r="G105" s="7" t="inlineStr">
        <is>
          <t>Tools and supplies</t>
        </is>
      </c>
      <c r="H105" s="7" t="inlineStr">
        <is>
          <t>Corporate</t>
        </is>
      </c>
      <c r="I105" s="7" t="inlineStr">
        <is>
          <t>South</t>
        </is>
      </c>
      <c r="J105" s="7" t="n">
        <v>57</v>
      </c>
      <c r="K105" s="7" t="n">
        <v>244.03</v>
      </c>
      <c r="L105" s="7" t="n">
        <v>13909.51</v>
      </c>
      <c r="M105" s="7" t="inlineStr">
        <is>
          <t>Pending</t>
        </is>
      </c>
      <c r="N105" s="7">
        <f>IF(OR(E105="Apex Office Supplies",E105="Apex Office Supply Ltd"),"Apex Office Supplies",IF(OR(E105="Northstar IT Services",E105="North Star IT Svc"),"Northstar IT Services",IF(OR(E105="Metro Logistics",E105="Metro Logistics Pvt Ltd"),"Metro Logistics",E105)))</f>
        <v/>
      </c>
      <c r="O105" s="7">
        <f>IF(AND(ISNUMBER(L105),L105&gt;0),"Valid","Review")</f>
        <v/>
      </c>
      <c r="P105" s="7">
        <f>IF(OR(E105="",F105="",NOT(ISNUMBER(L105))),"Check Missing/Invalid Data","OK")</f>
        <v/>
      </c>
    </row>
    <row r="106">
      <c r="A106" s="7" t="inlineStr">
        <is>
          <t>PO-00091</t>
        </is>
      </c>
      <c r="B106" s="9" t="n">
        <v>45721</v>
      </c>
      <c r="C106" s="7" t="inlineStr">
        <is>
          <t>Goods Receipt</t>
        </is>
      </c>
      <c r="D106" s="7" t="inlineStr">
        <is>
          <t>SUP008</t>
        </is>
      </c>
      <c r="E106" s="7">
        <f>IF(E106="","Unknown Supplier",TRIM(E106))</f>
        <v/>
      </c>
      <c r="F106" s="7">
        <f>IF(F106="","Unclassified",TRIM(F106))</f>
        <v/>
      </c>
      <c r="G106" s="7" t="inlineStr">
        <is>
          <t>Labels</t>
        </is>
      </c>
      <c r="H106" s="7" t="inlineStr">
        <is>
          <t>Sales</t>
        </is>
      </c>
      <c r="I106" s="7" t="inlineStr">
        <is>
          <t>West</t>
        </is>
      </c>
      <c r="J106" s="7" t="n">
        <v>35</v>
      </c>
      <c r="K106" s="7" t="n">
        <v>360.89</v>
      </c>
      <c r="L106" s="7" t="n">
        <v>12631.24</v>
      </c>
      <c r="M106" s="7" t="inlineStr">
        <is>
          <t>Paid</t>
        </is>
      </c>
      <c r="N106" s="7">
        <f>IF(OR(E106="Apex Office Supplies",E106="Apex Office Supply Ltd"),"Apex Office Supplies",IF(OR(E106="Northstar IT Services",E106="North Star IT Svc"),"Northstar IT Services",IF(OR(E106="Metro Logistics",E106="Metro Logistics Pvt Ltd"),"Metro Logistics",E106)))</f>
        <v/>
      </c>
      <c r="O106" s="7">
        <f>IF(AND(ISNUMBER(L106),L106&gt;0),"Valid","Review")</f>
        <v/>
      </c>
      <c r="P106" s="7">
        <f>IF(OR(E106="",F106="",NOT(ISNUMBER(L106))),"Check Missing/Invalid Data","OK")</f>
        <v/>
      </c>
    </row>
    <row r="107">
      <c r="A107" s="7" t="inlineStr">
        <is>
          <t>PO-00422</t>
        </is>
      </c>
      <c r="B107" s="9" t="n">
        <v>45723</v>
      </c>
      <c r="C107" s="7" t="inlineStr">
        <is>
          <t>Purchase Order</t>
        </is>
      </c>
      <c r="D107" s="7" t="inlineStr">
        <is>
          <t>SUP012</t>
        </is>
      </c>
      <c r="E107" s="7">
        <f>IF(E107="","Unknown Supplier",TRIM(E107))</f>
        <v/>
      </c>
      <c r="F107" s="7">
        <f>IF(F107="","Unclassified",TRIM(F107))</f>
        <v/>
      </c>
      <c r="G107" s="7" t="inlineStr">
        <is>
          <t>Tools and supplies</t>
        </is>
      </c>
      <c r="H107" s="7" t="inlineStr">
        <is>
          <t>Technology</t>
        </is>
      </c>
      <c r="I107" s="7" t="inlineStr">
        <is>
          <t>North</t>
        </is>
      </c>
      <c r="J107" s="7" t="n">
        <v>98</v>
      </c>
      <c r="K107" s="7" t="n">
        <v>148.71</v>
      </c>
      <c r="L107" s="7" t="n">
        <v>14573.19</v>
      </c>
      <c r="M107" s="7" t="inlineStr">
        <is>
          <t>Paid</t>
        </is>
      </c>
      <c r="N107" s="7">
        <f>IF(OR(E107="Apex Office Supplies",E107="Apex Office Supply Ltd"),"Apex Office Supplies",IF(OR(E107="Northstar IT Services",E107="North Star IT Svc"),"Northstar IT Services",IF(OR(E107="Metro Logistics",E107="Metro Logistics Pvt Ltd"),"Metro Logistics",E107)))</f>
        <v/>
      </c>
      <c r="O107" s="7">
        <f>IF(AND(ISNUMBER(L107),L107&gt;0),"Valid","Review")</f>
        <v/>
      </c>
      <c r="P107" s="7">
        <f>IF(OR(E107="",F107="",NOT(ISNUMBER(L107))),"Check Missing/Invalid Data","OK")</f>
        <v/>
      </c>
    </row>
    <row r="108">
      <c r="A108" s="7" t="inlineStr">
        <is>
          <t>PO-00063</t>
        </is>
      </c>
      <c r="B108" s="9" t="n">
        <v>45723</v>
      </c>
      <c r="C108" s="7" t="inlineStr">
        <is>
          <t>Goods Receipt</t>
        </is>
      </c>
      <c r="D108" s="7" t="inlineStr">
        <is>
          <t>SUP010</t>
        </is>
      </c>
      <c r="E108" s="7">
        <f>IF(E108="","Unknown Supplier",TRIM(E108))</f>
        <v/>
      </c>
      <c r="F108" s="7">
        <f>IF(F108="","Unclassified",TRIM(F108))</f>
        <v/>
      </c>
      <c r="G108" s="7" t="inlineStr">
        <is>
          <t>Natural gas</t>
        </is>
      </c>
      <c r="H108" s="7" t="inlineStr">
        <is>
          <t>Corporate</t>
        </is>
      </c>
      <c r="I108" s="7" t="inlineStr">
        <is>
          <t>North</t>
        </is>
      </c>
      <c r="J108" s="7" t="n">
        <v>76</v>
      </c>
      <c r="K108" s="7" t="n">
        <v>214.95</v>
      </c>
      <c r="L108" s="7" t="n">
        <v>16335.89</v>
      </c>
      <c r="M108" s="7" t="inlineStr">
        <is>
          <t>Overdue</t>
        </is>
      </c>
      <c r="N108" s="7">
        <f>IF(OR(E108="Apex Office Supplies",E108="Apex Office Supply Ltd"),"Apex Office Supplies",IF(OR(E108="Northstar IT Services",E108="North Star IT Svc"),"Northstar IT Services",IF(OR(E108="Metro Logistics",E108="Metro Logistics Pvt Ltd"),"Metro Logistics",E108)))</f>
        <v/>
      </c>
      <c r="O108" s="7">
        <f>IF(AND(ISNUMBER(L108),L108&gt;0),"Valid","Review")</f>
        <v/>
      </c>
      <c r="P108" s="7">
        <f>IF(OR(E108="",F108="",NOT(ISNUMBER(L108))),"Check Missing/Invalid Data","OK")</f>
        <v/>
      </c>
    </row>
    <row r="109">
      <c r="A109" s="7" t="inlineStr">
        <is>
          <t>PO-00544</t>
        </is>
      </c>
      <c r="B109" s="9" t="n">
        <v>45725</v>
      </c>
      <c r="C109" s="7" t="inlineStr">
        <is>
          <t>Invoice</t>
        </is>
      </c>
      <c r="D109" s="7" t="inlineStr">
        <is>
          <t>SUP010</t>
        </is>
      </c>
      <c r="E109" s="7">
        <f>IF(E109="","Unknown Supplier",TRIM(E109))</f>
        <v/>
      </c>
      <c r="F109" s="7">
        <f>IF(F109="","Unclassified",TRIM(F109))</f>
        <v/>
      </c>
      <c r="G109" s="7" t="inlineStr">
        <is>
          <t>Electricity</t>
        </is>
      </c>
      <c r="H109" s="7" t="inlineStr">
        <is>
          <t>Manufacturing</t>
        </is>
      </c>
      <c r="I109" s="7" t="inlineStr">
        <is>
          <t>West</t>
        </is>
      </c>
      <c r="J109" s="7" t="n">
        <v>93</v>
      </c>
      <c r="K109" s="7" t="n">
        <v>157.83</v>
      </c>
      <c r="L109" s="7" t="n">
        <v>14677.73</v>
      </c>
      <c r="M109" s="7" t="inlineStr">
        <is>
          <t>Pending</t>
        </is>
      </c>
      <c r="N109" s="7">
        <f>IF(OR(E109="Apex Office Supplies",E109="Apex Office Supply Ltd"),"Apex Office Supplies",IF(OR(E109="Northstar IT Services",E109="North Star IT Svc"),"Northstar IT Services",IF(OR(E109="Metro Logistics",E109="Metro Logistics Pvt Ltd"),"Metro Logistics",E109)))</f>
        <v/>
      </c>
      <c r="O109" s="7">
        <f>IF(AND(ISNUMBER(L109),L109&gt;0),"Valid","Review")</f>
        <v/>
      </c>
      <c r="P109" s="7">
        <f>IF(OR(E109="",F109="",NOT(ISNUMBER(L109))),"Check Missing/Invalid Data","OK")</f>
        <v/>
      </c>
    </row>
    <row r="110">
      <c r="A110" s="7" t="inlineStr">
        <is>
          <t>PO-00433</t>
        </is>
      </c>
      <c r="B110" s="9" t="n">
        <v>45725</v>
      </c>
      <c r="C110" s="7" t="inlineStr">
        <is>
          <t>Purchase Order</t>
        </is>
      </c>
      <c r="D110" s="7" t="inlineStr">
        <is>
          <t>SUP004</t>
        </is>
      </c>
      <c r="E110" s="7">
        <f>IF(E110="","Unknown Supplier",TRIM(E110))</f>
        <v/>
      </c>
      <c r="F110" s="7">
        <f>IF(F110="","Unclassified",TRIM(F110))</f>
        <v/>
      </c>
      <c r="G110" s="7" t="inlineStr">
        <is>
          <t>Cloud services</t>
        </is>
      </c>
      <c r="H110" s="7" t="inlineStr">
        <is>
          <t>Corporate</t>
        </is>
      </c>
      <c r="I110" s="7" t="inlineStr">
        <is>
          <t>West</t>
        </is>
      </c>
      <c r="J110" s="7" t="n">
        <v>22</v>
      </c>
      <c r="K110" s="7" t="n">
        <v>824.01</v>
      </c>
      <c r="L110" s="7" t="n">
        <v>18128.3</v>
      </c>
      <c r="M110" s="7" t="inlineStr">
        <is>
          <t>Overdue</t>
        </is>
      </c>
      <c r="N110" s="7">
        <f>IF(OR(E110="Apex Office Supplies",E110="Apex Office Supply Ltd"),"Apex Office Supplies",IF(OR(E110="Northstar IT Services",E110="North Star IT Svc"),"Northstar IT Services",IF(OR(E110="Metro Logistics",E110="Metro Logistics Pvt Ltd"),"Metro Logistics",E110)))</f>
        <v/>
      </c>
      <c r="O110" s="7">
        <f>IF(AND(ISNUMBER(L110),L110&gt;0),"Valid","Review")</f>
        <v/>
      </c>
      <c r="P110" s="7">
        <f>IF(OR(E110="",F110="",NOT(ISNUMBER(L110))),"Check Missing/Invalid Data","OK")</f>
        <v/>
      </c>
    </row>
    <row r="111">
      <c r="A111" s="7" t="inlineStr">
        <is>
          <t>PO-00328</t>
        </is>
      </c>
      <c r="B111" s="9" t="n">
        <v>45725</v>
      </c>
      <c r="C111" s="7" t="inlineStr">
        <is>
          <t>Invoice</t>
        </is>
      </c>
      <c r="D111" s="7" t="inlineStr">
        <is>
          <t>SUP011</t>
        </is>
      </c>
      <c r="E111" s="7">
        <f>IF(E111="","Unknown Supplier",TRIM(E111))</f>
        <v/>
      </c>
      <c r="F111" s="7">
        <f>IF(F111="","Unclassified",TRIM(F111))</f>
        <v/>
      </c>
      <c r="G111" s="7" t="inlineStr">
        <is>
          <t>Digital campaign</t>
        </is>
      </c>
      <c r="H111" s="7" t="inlineStr">
        <is>
          <t>Technology</t>
        </is>
      </c>
      <c r="I111" s="7" t="inlineStr">
        <is>
          <t>East</t>
        </is>
      </c>
      <c r="J111" s="7" t="n">
        <v>113</v>
      </c>
      <c r="K111" s="7" t="n">
        <v>139.42</v>
      </c>
      <c r="L111" s="7" t="n">
        <v>15754.69</v>
      </c>
      <c r="M111" s="7" t="inlineStr">
        <is>
          <t>Paid</t>
        </is>
      </c>
      <c r="N111" s="7">
        <f>IF(OR(E111="Apex Office Supplies",E111="Apex Office Supply Ltd"),"Apex Office Supplies",IF(OR(E111="Northstar IT Services",E111="North Star IT Svc"),"Northstar IT Services",IF(OR(E111="Metro Logistics",E111="Metro Logistics Pvt Ltd"),"Metro Logistics",E111)))</f>
        <v/>
      </c>
      <c r="O111" s="7">
        <f>IF(AND(ISNUMBER(L111),L111&gt;0),"Valid","Review")</f>
        <v/>
      </c>
      <c r="P111" s="7">
        <f>IF(OR(E111="",F111="",NOT(ISNUMBER(L111))),"Check Missing/Invalid Data","OK")</f>
        <v/>
      </c>
    </row>
    <row r="112">
      <c r="A112" s="7" t="inlineStr">
        <is>
          <t>PO-00242</t>
        </is>
      </c>
      <c r="B112" s="9" t="n">
        <v>45726</v>
      </c>
      <c r="C112" s="7" t="inlineStr">
        <is>
          <t>Invoice</t>
        </is>
      </c>
      <c r="D112" s="7" t="inlineStr">
        <is>
          <t>SUP008</t>
        </is>
      </c>
      <c r="E112" s="7">
        <f>IF(E112="","Unknown Supplier",TRIM(E112))</f>
        <v/>
      </c>
      <c r="F112" s="7">
        <f>IF(F112="","Unclassified",TRIM(F112))</f>
        <v/>
      </c>
      <c r="G112" s="7" t="inlineStr">
        <is>
          <t>Protective packaging</t>
        </is>
      </c>
      <c r="H112" s="7" t="inlineStr">
        <is>
          <t>Manufacturing</t>
        </is>
      </c>
      <c r="I112" s="7" t="inlineStr">
        <is>
          <t>West</t>
        </is>
      </c>
      <c r="J112" s="7" t="n">
        <v>78</v>
      </c>
      <c r="K112" s="7" t="n">
        <v>172.94</v>
      </c>
      <c r="L112" s="7" t="n">
        <v>13489.5</v>
      </c>
      <c r="M112" s="7" t="inlineStr">
        <is>
          <t>Overdue</t>
        </is>
      </c>
      <c r="N112" s="7">
        <f>IF(OR(E112="Apex Office Supplies",E112="Apex Office Supply Ltd"),"Apex Office Supplies",IF(OR(E112="Northstar IT Services",E112="North Star IT Svc"),"Northstar IT Services",IF(OR(E112="Metro Logistics",E112="Metro Logistics Pvt Ltd"),"Metro Logistics",E112)))</f>
        <v/>
      </c>
      <c r="O112" s="7">
        <f>IF(AND(ISNUMBER(L112),L112&gt;0),"Valid","Review")</f>
        <v/>
      </c>
      <c r="P112" s="7">
        <f>IF(OR(E112="",F112="",NOT(ISNUMBER(L112))),"Check Missing/Invalid Data","OK")</f>
        <v/>
      </c>
    </row>
    <row r="113">
      <c r="A113" s="7" t="inlineStr">
        <is>
          <t>PO-00517</t>
        </is>
      </c>
      <c r="B113" s="9" t="n">
        <v>45726</v>
      </c>
      <c r="C113" s="7" t="inlineStr">
        <is>
          <t>Purchase Order</t>
        </is>
      </c>
      <c r="D113" s="7" t="inlineStr">
        <is>
          <t>SUP005</t>
        </is>
      </c>
      <c r="E113" s="7">
        <f>IF(E113="","Unknown Supplier",TRIM(E113))</f>
        <v/>
      </c>
      <c r="F113" s="7">
        <f>IF(F113="","Unclassified",TRIM(F113))</f>
        <v/>
      </c>
      <c r="G113" s="7" t="inlineStr">
        <is>
          <t>Courier services</t>
        </is>
      </c>
      <c r="H113" s="7" t="inlineStr">
        <is>
          <t>Manufacturing</t>
        </is>
      </c>
      <c r="I113" s="7" t="inlineStr">
        <is>
          <t>West</t>
        </is>
      </c>
      <c r="J113" s="7" t="n">
        <v>110</v>
      </c>
      <c r="K113" s="7" t="n">
        <v>66.09999999999999</v>
      </c>
      <c r="L113" s="7" t="n">
        <v>7271.46</v>
      </c>
      <c r="M113" s="7" t="inlineStr">
        <is>
          <t>Pending</t>
        </is>
      </c>
      <c r="N113" s="7">
        <f>IF(OR(E113="Apex Office Supplies",E113="Apex Office Supply Ltd"),"Apex Office Supplies",IF(OR(E113="Northstar IT Services",E113="North Star IT Svc"),"Northstar IT Services",IF(OR(E113="Metro Logistics",E113="Metro Logistics Pvt Ltd"),"Metro Logistics",E113)))</f>
        <v/>
      </c>
      <c r="O113" s="7">
        <f>IF(AND(ISNUMBER(L113),L113&gt;0),"Valid","Review")</f>
        <v/>
      </c>
      <c r="P113" s="7">
        <f>IF(OR(E113="",F113="",NOT(ISNUMBER(L113))),"Check Missing/Invalid Data","OK")</f>
        <v/>
      </c>
    </row>
    <row r="114">
      <c r="A114" s="7" t="inlineStr">
        <is>
          <t>PO-00333</t>
        </is>
      </c>
      <c r="B114" s="9" t="n">
        <v>45726</v>
      </c>
      <c r="C114" s="7" t="inlineStr">
        <is>
          <t>Goods Receipt</t>
        </is>
      </c>
      <c r="D114" s="7" t="inlineStr">
        <is>
          <t>SUP011</t>
        </is>
      </c>
      <c r="E114" s="7">
        <f>IF(E114="","Unknown Supplier",TRIM(E114))</f>
        <v/>
      </c>
      <c r="F114" s="7">
        <f>IF(F114="","Unclassified",TRIM(F114))</f>
        <v/>
      </c>
      <c r="G114" s="7" t="inlineStr">
        <is>
          <t>Digital campaign</t>
        </is>
      </c>
      <c r="H114" s="7" t="inlineStr">
        <is>
          <t>Manufacturing</t>
        </is>
      </c>
      <c r="I114" s="7" t="inlineStr">
        <is>
          <t>South</t>
        </is>
      </c>
      <c r="J114" s="7" t="n">
        <v>68</v>
      </c>
      <c r="K114" s="7" t="n">
        <v>39.33</v>
      </c>
      <c r="L114" s="7" t="n">
        <v>2674.21</v>
      </c>
      <c r="M114" s="7" t="inlineStr">
        <is>
          <t>Pending</t>
        </is>
      </c>
      <c r="N114" s="7">
        <f>IF(OR(E114="Apex Office Supplies",E114="Apex Office Supply Ltd"),"Apex Office Supplies",IF(OR(E114="Northstar IT Services",E114="North Star IT Svc"),"Northstar IT Services",IF(OR(E114="Metro Logistics",E114="Metro Logistics Pvt Ltd"),"Metro Logistics",E114)))</f>
        <v/>
      </c>
      <c r="O114" s="7">
        <f>IF(AND(ISNUMBER(L114),L114&gt;0),"Valid","Review")</f>
        <v/>
      </c>
      <c r="P114" s="7">
        <f>IF(OR(E114="",F114="",NOT(ISNUMBER(L114))),"Check Missing/Invalid Data","OK")</f>
        <v/>
      </c>
    </row>
    <row r="115">
      <c r="A115" s="7" t="inlineStr">
        <is>
          <t>PO-00319</t>
        </is>
      </c>
      <c r="B115" s="9" t="n">
        <v>45729</v>
      </c>
      <c r="C115" s="7" t="inlineStr">
        <is>
          <t>Invoice</t>
        </is>
      </c>
      <c r="D115" s="7" t="inlineStr">
        <is>
          <t>SUP004</t>
        </is>
      </c>
      <c r="E115" s="7">
        <f>IF(E115="","Unknown Supplier",TRIM(E115))</f>
        <v/>
      </c>
      <c r="F115" s="7">
        <f>IF(F115="","Unclassified",TRIM(F115))</f>
        <v/>
      </c>
      <c r="G115" s="7" t="inlineStr">
        <is>
          <t>IT consulting</t>
        </is>
      </c>
      <c r="H115" s="7" t="inlineStr">
        <is>
          <t>Technology</t>
        </is>
      </c>
      <c r="I115" s="7" t="inlineStr">
        <is>
          <t>South</t>
        </is>
      </c>
      <c r="J115" s="7" t="n">
        <v>73</v>
      </c>
      <c r="K115" s="7" t="n">
        <v>338.17</v>
      </c>
      <c r="L115" s="7" t="n">
        <v>24686.17</v>
      </c>
      <c r="M115" s="7" t="inlineStr">
        <is>
          <t>Pending</t>
        </is>
      </c>
      <c r="N115" s="7">
        <f>IF(OR(E115="Apex Office Supplies",E115="Apex Office Supply Ltd"),"Apex Office Supplies",IF(OR(E115="Northstar IT Services",E115="North Star IT Svc"),"Northstar IT Services",IF(OR(E115="Metro Logistics",E115="Metro Logistics Pvt Ltd"),"Metro Logistics",E115)))</f>
        <v/>
      </c>
      <c r="O115" s="7">
        <f>IF(AND(ISNUMBER(L115),L115&gt;0),"Valid","Review")</f>
        <v/>
      </c>
      <c r="P115" s="7">
        <f>IF(OR(E115="",F115="",NOT(ISNUMBER(L115))),"Check Missing/Invalid Data","OK")</f>
        <v/>
      </c>
    </row>
    <row r="116">
      <c r="A116" s="7" t="inlineStr">
        <is>
          <t>PO-00383</t>
        </is>
      </c>
      <c r="B116" s="9" t="n">
        <v>45730</v>
      </c>
      <c r="C116" s="7" t="inlineStr">
        <is>
          <t>Purchase Order</t>
        </is>
      </c>
      <c r="D116" s="7" t="inlineStr">
        <is>
          <t>SUP006</t>
        </is>
      </c>
      <c r="E116" s="7">
        <f>IF(E116="","Unknown Supplier",TRIM(E116))</f>
        <v/>
      </c>
      <c r="F116" s="7">
        <f>IF(F116="","Unclassified",TRIM(F116))</f>
        <v/>
      </c>
      <c r="G116" s="7" t="inlineStr">
        <is>
          <t>Warehouse handling</t>
        </is>
      </c>
      <c r="H116" s="7" t="inlineStr">
        <is>
          <t>Corporate</t>
        </is>
      </c>
      <c r="I116" s="7" t="inlineStr">
        <is>
          <t>East</t>
        </is>
      </c>
      <c r="J116" s="7" t="n">
        <v>41</v>
      </c>
      <c r="K116" s="7" t="n">
        <v>181.42</v>
      </c>
      <c r="L116" s="7" t="n">
        <v>7438.12</v>
      </c>
      <c r="M116" s="7" t="inlineStr">
        <is>
          <t>Pending</t>
        </is>
      </c>
      <c r="N116" s="7">
        <f>IF(OR(E116="Apex Office Supplies",E116="Apex Office Supply Ltd"),"Apex Office Supplies",IF(OR(E116="Northstar IT Services",E116="North Star IT Svc"),"Northstar IT Services",IF(OR(E116="Metro Logistics",E116="Metro Logistics Pvt Ltd"),"Metro Logistics",E116)))</f>
        <v/>
      </c>
      <c r="O116" s="7">
        <f>IF(AND(ISNUMBER(L116),L116&gt;0),"Valid","Review")</f>
        <v/>
      </c>
      <c r="P116" s="7">
        <f>IF(OR(E116="",F116="",NOT(ISNUMBER(L116))),"Check Missing/Invalid Data","OK")</f>
        <v/>
      </c>
    </row>
    <row r="117">
      <c r="A117" s="7" t="inlineStr">
        <is>
          <t>PO-00310</t>
        </is>
      </c>
      <c r="B117" s="9" t="n">
        <v>45730</v>
      </c>
      <c r="C117" s="7" t="inlineStr">
        <is>
          <t>Invoice</t>
        </is>
      </c>
      <c r="D117" s="7" t="inlineStr">
        <is>
          <t>SUP009</t>
        </is>
      </c>
      <c r="E117" s="7">
        <f>IF(E117="","Unknown Supplier",TRIM(E117))</f>
        <v/>
      </c>
      <c r="F117" s="7">
        <f>IF(F117="","Unclassified",TRIM(F117))</f>
        <v/>
      </c>
      <c r="G117" s="7" t="inlineStr">
        <is>
          <t>Training services</t>
        </is>
      </c>
      <c r="H117" s="7" t="inlineStr">
        <is>
          <t>Operations</t>
        </is>
      </c>
      <c r="I117" s="7" t="inlineStr">
        <is>
          <t>West</t>
        </is>
      </c>
      <c r="J117" s="7" t="n">
        <v>74</v>
      </c>
      <c r="K117" s="7" t="n">
        <v>247.74</v>
      </c>
      <c r="L117" s="7" t="n">
        <v>18332.96</v>
      </c>
      <c r="M117" s="7" t="inlineStr">
        <is>
          <t>Overdue</t>
        </is>
      </c>
      <c r="N117" s="7">
        <f>IF(OR(E117="Apex Office Supplies",E117="Apex Office Supply Ltd"),"Apex Office Supplies",IF(OR(E117="Northstar IT Services",E117="North Star IT Svc"),"Northstar IT Services",IF(OR(E117="Metro Logistics",E117="Metro Logistics Pvt Ltd"),"Metro Logistics",E117)))</f>
        <v/>
      </c>
      <c r="O117" s="7">
        <f>IF(AND(ISNUMBER(L117),L117&gt;0),"Valid","Review")</f>
        <v/>
      </c>
      <c r="P117" s="7">
        <f>IF(OR(E117="",F117="",NOT(ISNUMBER(L117))),"Check Missing/Invalid Data","OK")</f>
        <v/>
      </c>
    </row>
    <row r="118">
      <c r="A118" s="7" t="inlineStr">
        <is>
          <t>PO-00146</t>
        </is>
      </c>
      <c r="B118" s="9" t="n">
        <v>45731</v>
      </c>
      <c r="C118" s="7" t="inlineStr">
        <is>
          <t>Goods Receipt</t>
        </is>
      </c>
      <c r="D118" s="7" t="inlineStr">
        <is>
          <t>SUP010</t>
        </is>
      </c>
      <c r="E118" s="7">
        <f>IF(E118="","Unknown Supplier",TRIM(E118))</f>
        <v/>
      </c>
      <c r="F118" s="7">
        <f>IF(F118="","Unclassified",TRIM(F118))</f>
        <v/>
      </c>
      <c r="G118" s="7" t="inlineStr">
        <is>
          <t>Electricity</t>
        </is>
      </c>
      <c r="H118" s="7" t="inlineStr">
        <is>
          <t>Corporate</t>
        </is>
      </c>
      <c r="I118" s="7" t="inlineStr">
        <is>
          <t>South</t>
        </is>
      </c>
      <c r="J118" s="7" t="n">
        <v>95</v>
      </c>
      <c r="K118" s="7" t="n">
        <v>14.36</v>
      </c>
      <c r="L118" s="7" t="n">
        <v>1364.19</v>
      </c>
      <c r="M118" s="7" t="inlineStr">
        <is>
          <t>Pending</t>
        </is>
      </c>
      <c r="N118" s="7">
        <f>IF(OR(E118="Apex Office Supplies",E118="Apex Office Supply Ltd"),"Apex Office Supplies",IF(OR(E118="Northstar IT Services",E118="North Star IT Svc"),"Northstar IT Services",IF(OR(E118="Metro Logistics",E118="Metro Logistics Pvt Ltd"),"Metro Logistics",E118)))</f>
        <v/>
      </c>
      <c r="O118" s="7">
        <f>IF(AND(ISNUMBER(L118),L118&gt;0),"Valid","Review")</f>
        <v/>
      </c>
      <c r="P118" s="7">
        <f>IF(OR(E118="",F118="",NOT(ISNUMBER(L118))),"Check Missing/Invalid Data","OK")</f>
        <v/>
      </c>
    </row>
    <row r="119">
      <c r="A119" s="7" t="inlineStr">
        <is>
          <t>PO-00112</t>
        </is>
      </c>
      <c r="B119" s="9" t="n">
        <v>45732</v>
      </c>
      <c r="C119" s="7" t="inlineStr">
        <is>
          <t>Purchase Order</t>
        </is>
      </c>
      <c r="D119" s="7" t="inlineStr">
        <is>
          <t>SUP004</t>
        </is>
      </c>
      <c r="E119" s="7">
        <f>IF(E119="","Unknown Supplier",TRIM(E119))</f>
        <v/>
      </c>
      <c r="F119" s="7">
        <f>IF(F119="","Unclassified",TRIM(F119))</f>
        <v/>
      </c>
      <c r="G119" s="7" t="inlineStr">
        <is>
          <t>Software support</t>
        </is>
      </c>
      <c r="H119" s="7" t="inlineStr">
        <is>
          <t>Operations</t>
        </is>
      </c>
      <c r="I119" s="7" t="inlineStr">
        <is>
          <t>North</t>
        </is>
      </c>
      <c r="J119" s="7" t="n">
        <v>102</v>
      </c>
      <c r="K119" s="7" t="n">
        <v>170.65</v>
      </c>
      <c r="L119" s="7" t="n">
        <v>17405.95</v>
      </c>
      <c r="M119" s="7" t="inlineStr">
        <is>
          <t>Overdue</t>
        </is>
      </c>
      <c r="N119" s="7">
        <f>IF(OR(E119="Apex Office Supplies",E119="Apex Office Supply Ltd"),"Apex Office Supplies",IF(OR(E119="Northstar IT Services",E119="North Star IT Svc"),"Northstar IT Services",IF(OR(E119="Metro Logistics",E119="Metro Logistics Pvt Ltd"),"Metro Logistics",E119)))</f>
        <v/>
      </c>
      <c r="O119" s="7">
        <f>IF(AND(ISNUMBER(L119),L119&gt;0),"Valid","Review")</f>
        <v/>
      </c>
      <c r="P119" s="7">
        <f>IF(OR(E119="",F119="",NOT(ISNUMBER(L119))),"Check Missing/Invalid Data","OK")</f>
        <v/>
      </c>
    </row>
    <row r="120">
      <c r="A120" s="7" t="inlineStr">
        <is>
          <t>PO-00053</t>
        </is>
      </c>
      <c r="B120" s="9" t="n">
        <v>45733</v>
      </c>
      <c r="C120" s="7" t="inlineStr">
        <is>
          <t>Purchase Order</t>
        </is>
      </c>
      <c r="D120" s="7" t="inlineStr">
        <is>
          <t>SUP001</t>
        </is>
      </c>
      <c r="E120" s="7">
        <f>IF(E120="","Unknown Supplier",TRIM(E120))</f>
        <v/>
      </c>
      <c r="F120" s="7">
        <f>IF(F120="","Unclassified",TRIM(F120))</f>
        <v/>
      </c>
      <c r="G120" s="7" t="inlineStr">
        <is>
          <t>Print advertising</t>
        </is>
      </c>
      <c r="H120" s="7" t="inlineStr">
        <is>
          <t>Sales</t>
        </is>
      </c>
      <c r="I120" s="7" t="inlineStr">
        <is>
          <t>South</t>
        </is>
      </c>
      <c r="J120" s="7" t="n">
        <v>99</v>
      </c>
      <c r="K120" s="7" t="n">
        <v>111.61</v>
      </c>
      <c r="L120" s="7" t="n">
        <v>11049.58</v>
      </c>
      <c r="M120" s="7" t="inlineStr">
        <is>
          <t>Overdue</t>
        </is>
      </c>
      <c r="N120" s="7">
        <f>IF(OR(E120="Apex Office Supplies",E120="Apex Office Supply Ltd"),"Apex Office Supplies",IF(OR(E120="Northstar IT Services",E120="North Star IT Svc"),"Northstar IT Services",IF(OR(E120="Metro Logistics",E120="Metro Logistics Pvt Ltd"),"Metro Logistics",E120)))</f>
        <v/>
      </c>
      <c r="O120" s="7">
        <f>IF(AND(ISNUMBER(L120),L120&gt;0),"Valid","Review")</f>
        <v/>
      </c>
      <c r="P120" s="7">
        <f>IF(OR(E120="",F120="",NOT(ISNUMBER(L120))),"Check Missing/Invalid Data","OK")</f>
        <v/>
      </c>
    </row>
    <row r="121">
      <c r="A121" s="7" t="inlineStr">
        <is>
          <t>PO-00258</t>
        </is>
      </c>
      <c r="B121" s="9" t="n">
        <v>45734</v>
      </c>
      <c r="C121" s="7" t="inlineStr">
        <is>
          <t>Purchase Order</t>
        </is>
      </c>
      <c r="D121" s="7" t="inlineStr">
        <is>
          <t>SUP005</t>
        </is>
      </c>
      <c r="E121" s="7">
        <f>IF(E121="","Unknown Supplier",TRIM(E121))</f>
        <v/>
      </c>
      <c r="F121" s="7">
        <f>IF(F121="","Unclassified",TRIM(F121))</f>
        <v/>
      </c>
      <c r="G121" s="7" t="inlineStr">
        <is>
          <t>Freight services</t>
        </is>
      </c>
      <c r="H121" s="7" t="inlineStr">
        <is>
          <t>Technology</t>
        </is>
      </c>
      <c r="I121" s="7" t="inlineStr">
        <is>
          <t>South</t>
        </is>
      </c>
      <c r="J121" s="7" t="n">
        <v>61</v>
      </c>
      <c r="K121" s="7" t="n">
        <v>379.27</v>
      </c>
      <c r="L121" s="7" t="n">
        <v>23135.23</v>
      </c>
      <c r="M121" s="7" t="inlineStr">
        <is>
          <t>Pending</t>
        </is>
      </c>
      <c r="N121" s="7">
        <f>IF(OR(E121="Apex Office Supplies",E121="Apex Office Supply Ltd"),"Apex Office Supplies",IF(OR(E121="Northstar IT Services",E121="North Star IT Svc"),"Northstar IT Services",IF(OR(E121="Metro Logistics",E121="Metro Logistics Pvt Ltd"),"Metro Logistics",E121)))</f>
        <v/>
      </c>
      <c r="O121" s="7">
        <f>IF(AND(ISNUMBER(L121),L121&gt;0),"Valid","Review")</f>
        <v/>
      </c>
      <c r="P121" s="7">
        <f>IF(OR(E121="",F121="",NOT(ISNUMBER(L121))),"Check Missing/Invalid Data","OK")</f>
        <v/>
      </c>
    </row>
    <row r="122">
      <c r="A122" s="7" t="inlineStr">
        <is>
          <t>PO-00090</t>
        </is>
      </c>
      <c r="B122" s="9" t="n">
        <v>45734</v>
      </c>
      <c r="C122" s="7" t="inlineStr">
        <is>
          <t>Invoice</t>
        </is>
      </c>
      <c r="D122" s="7" t="inlineStr">
        <is>
          <t>SUP005</t>
        </is>
      </c>
      <c r="E122" s="7">
        <f>IF(E122="","Unknown Supplier",TRIM(E122))</f>
        <v/>
      </c>
      <c r="F122" s="7">
        <f>IF(F122="","Unclassified",TRIM(F122))</f>
        <v/>
      </c>
      <c r="G122" s="7" t="inlineStr">
        <is>
          <t>Warehouse handling</t>
        </is>
      </c>
      <c r="H122" s="7" t="inlineStr">
        <is>
          <t>Manufacturing</t>
        </is>
      </c>
      <c r="I122" s="7" t="inlineStr">
        <is>
          <t>East</t>
        </is>
      </c>
      <c r="J122" s="7" t="n">
        <v>22</v>
      </c>
      <c r="K122" s="7" t="n">
        <v>107.94</v>
      </c>
      <c r="L122" s="7" t="n">
        <v>2374.57</v>
      </c>
      <c r="M122" s="7" t="inlineStr">
        <is>
          <t>Pending</t>
        </is>
      </c>
      <c r="N122" s="7">
        <f>IF(OR(E122="Apex Office Supplies",E122="Apex Office Supply Ltd"),"Apex Office Supplies",IF(OR(E122="Northstar IT Services",E122="North Star IT Svc"),"Northstar IT Services",IF(OR(E122="Metro Logistics",E122="Metro Logistics Pvt Ltd"),"Metro Logistics",E122)))</f>
        <v/>
      </c>
      <c r="O122" s="7">
        <f>IF(AND(ISNUMBER(L122),L122&gt;0),"Valid","Review")</f>
        <v/>
      </c>
      <c r="P122" s="7">
        <f>IF(OR(E122="",F122="",NOT(ISNUMBER(L122))),"Check Missing/Invalid Data","OK")</f>
        <v/>
      </c>
    </row>
    <row r="123">
      <c r="A123" s="7" t="inlineStr">
        <is>
          <t>PO-00059</t>
        </is>
      </c>
      <c r="B123" s="9" t="n">
        <v>45735</v>
      </c>
      <c r="C123" s="7" t="inlineStr">
        <is>
          <t>Purchase Order</t>
        </is>
      </c>
      <c r="D123" s="7" t="inlineStr">
        <is>
          <t>SUP004</t>
        </is>
      </c>
      <c r="E123" s="7">
        <f>IF(E123="","Unknown Supplier",TRIM(E123))</f>
        <v/>
      </c>
      <c r="F123" s="7">
        <f>IF(F123="","Unclassified",TRIM(F123))</f>
        <v/>
      </c>
      <c r="G123" s="7" t="inlineStr">
        <is>
          <t>Cloud services</t>
        </is>
      </c>
      <c r="H123" s="7" t="inlineStr">
        <is>
          <t>Sales</t>
        </is>
      </c>
      <c r="I123" s="7" t="inlineStr">
        <is>
          <t>East</t>
        </is>
      </c>
      <c r="J123" s="7" t="n">
        <v>28</v>
      </c>
      <c r="K123" s="7" t="n">
        <v>173.17</v>
      </c>
      <c r="L123" s="7" t="n">
        <v>4848.67</v>
      </c>
      <c r="M123" s="7" t="inlineStr">
        <is>
          <t>Overdue</t>
        </is>
      </c>
      <c r="N123" s="7">
        <f>IF(OR(E123="Apex Office Supplies",E123="Apex Office Supply Ltd"),"Apex Office Supplies",IF(OR(E123="Northstar IT Services",E123="North Star IT Svc"),"Northstar IT Services",IF(OR(E123="Metro Logistics",E123="Metro Logistics Pvt Ltd"),"Metro Logistics",E123)))</f>
        <v/>
      </c>
      <c r="O123" s="7">
        <f>IF(AND(ISNUMBER(L123),L123&gt;0),"Valid","Review")</f>
        <v/>
      </c>
      <c r="P123" s="7">
        <f>IF(OR(E123="",F123="",NOT(ISNUMBER(L123))),"Check Missing/Invalid Data","OK")</f>
        <v/>
      </c>
    </row>
    <row r="124">
      <c r="A124" s="7" t="inlineStr">
        <is>
          <t>PO-00203</t>
        </is>
      </c>
      <c r="B124" s="9" t="n">
        <v>45736</v>
      </c>
      <c r="C124" s="7" t="inlineStr">
        <is>
          <t>Purchase Order</t>
        </is>
      </c>
      <c r="D124" s="7" t="inlineStr">
        <is>
          <t>SUP005</t>
        </is>
      </c>
      <c r="E124" s="7">
        <f>IF(E124="","Unknown Supplier",TRIM(E124))</f>
        <v/>
      </c>
      <c r="F124" s="7">
        <f>IF(F124="","Unclassified",TRIM(F124))</f>
        <v/>
      </c>
      <c r="G124" s="7" t="inlineStr">
        <is>
          <t>Courier services</t>
        </is>
      </c>
      <c r="H124" s="7" t="inlineStr">
        <is>
          <t>Manufacturing</t>
        </is>
      </c>
      <c r="I124" s="7" t="inlineStr">
        <is>
          <t>East</t>
        </is>
      </c>
      <c r="J124" s="7" t="n">
        <v>91</v>
      </c>
      <c r="K124" s="7" t="n">
        <v>110.02</v>
      </c>
      <c r="L124" s="7" t="n">
        <v>10011.6</v>
      </c>
      <c r="M124" s="7" t="inlineStr">
        <is>
          <t>Paid</t>
        </is>
      </c>
      <c r="N124" s="7">
        <f>IF(OR(E124="Apex Office Supplies",E124="Apex Office Supply Ltd"),"Apex Office Supplies",IF(OR(E124="Northstar IT Services",E124="North Star IT Svc"),"Northstar IT Services",IF(OR(E124="Metro Logistics",E124="Metro Logistics Pvt Ltd"),"Metro Logistics",E124)))</f>
        <v/>
      </c>
      <c r="O124" s="7">
        <f>IF(AND(ISNUMBER(L124),L124&gt;0),"Valid","Review")</f>
        <v/>
      </c>
      <c r="P124" s="7">
        <f>IF(OR(E124="",F124="",NOT(ISNUMBER(L124))),"Check Missing/Invalid Data","OK")</f>
        <v/>
      </c>
    </row>
    <row r="125">
      <c r="A125" s="7" t="inlineStr">
        <is>
          <t>PO-00004</t>
        </is>
      </c>
      <c r="B125" s="9" t="n">
        <v>45737</v>
      </c>
      <c r="C125" s="7" t="inlineStr">
        <is>
          <t>Invoice</t>
        </is>
      </c>
      <c r="D125" s="7" t="inlineStr">
        <is>
          <t>SUP004</t>
        </is>
      </c>
      <c r="E125" s="7">
        <f>IF(E125="","Unknown Supplier",TRIM(E125))</f>
        <v/>
      </c>
      <c r="F125" s="7">
        <f>IF(F125="","Unclassified",TRIM(F125))</f>
        <v/>
      </c>
      <c r="G125" s="7" t="inlineStr">
        <is>
          <t>Software support</t>
        </is>
      </c>
      <c r="H125" s="7" t="inlineStr">
        <is>
          <t>Technology</t>
        </is>
      </c>
      <c r="I125" s="7" t="inlineStr">
        <is>
          <t>East</t>
        </is>
      </c>
      <c r="J125" s="7" t="n">
        <v>12</v>
      </c>
      <c r="K125" s="7" t="n">
        <v>869.59</v>
      </c>
      <c r="L125" s="7" t="n">
        <v>10435.13</v>
      </c>
      <c r="M125" s="7" t="inlineStr">
        <is>
          <t>Overdue</t>
        </is>
      </c>
      <c r="N125" s="7">
        <f>IF(OR(E125="Apex Office Supplies",E125="Apex Office Supply Ltd"),"Apex Office Supplies",IF(OR(E125="Northstar IT Services",E125="North Star IT Svc"),"Northstar IT Services",IF(OR(E125="Metro Logistics",E125="Metro Logistics Pvt Ltd"),"Metro Logistics",E125)))</f>
        <v/>
      </c>
      <c r="O125" s="7">
        <f>IF(AND(ISNUMBER(L125),L125&gt;0),"Valid","Review")</f>
        <v/>
      </c>
      <c r="P125" s="7">
        <f>IF(OR(E125="",F125="",NOT(ISNUMBER(L125))),"Check Missing/Invalid Data","OK")</f>
        <v/>
      </c>
    </row>
    <row r="126">
      <c r="A126" s="7" t="inlineStr">
        <is>
          <t>PO-00148</t>
        </is>
      </c>
      <c r="B126" s="9" t="n">
        <v>45737</v>
      </c>
      <c r="C126" s="7" t="inlineStr">
        <is>
          <t>Invoice</t>
        </is>
      </c>
      <c r="D126" s="7" t="inlineStr">
        <is>
          <t>SUP003</t>
        </is>
      </c>
      <c r="E126" s="7">
        <f>IF(E126="","Unknown Supplier",TRIM(E126))</f>
        <v/>
      </c>
      <c r="F126" s="7">
        <f>IF(F126="","Unclassified",TRIM(F126))</f>
        <v/>
      </c>
      <c r="G126" s="7" t="inlineStr">
        <is>
          <t>Cloud services</t>
        </is>
      </c>
      <c r="H126" s="7" t="inlineStr">
        <is>
          <t>Sales</t>
        </is>
      </c>
      <c r="I126" s="7" t="inlineStr">
        <is>
          <t>West</t>
        </is>
      </c>
      <c r="J126" s="7" t="n">
        <v>11</v>
      </c>
      <c r="K126" s="7" t="n">
        <v>156.05</v>
      </c>
      <c r="L126" s="7" t="n">
        <v>1716.58</v>
      </c>
      <c r="M126" s="7" t="inlineStr">
        <is>
          <t>Overdue</t>
        </is>
      </c>
      <c r="N126" s="7">
        <f>IF(OR(E126="Apex Office Supplies",E126="Apex Office Supply Ltd"),"Apex Office Supplies",IF(OR(E126="Northstar IT Services",E126="North Star IT Svc"),"Northstar IT Services",IF(OR(E126="Metro Logistics",E126="Metro Logistics Pvt Ltd"),"Metro Logistics",E126)))</f>
        <v/>
      </c>
      <c r="O126" s="7">
        <f>IF(AND(ISNUMBER(L126),L126&gt;0),"Valid","Review")</f>
        <v/>
      </c>
      <c r="P126" s="7">
        <f>IF(OR(E126="",F126="",NOT(ISNUMBER(L126))),"Check Missing/Invalid Data","OK")</f>
        <v/>
      </c>
    </row>
    <row r="127">
      <c r="A127" s="7" t="inlineStr">
        <is>
          <t>PO-00348</t>
        </is>
      </c>
      <c r="B127" s="9" t="n">
        <v>45738</v>
      </c>
      <c r="C127" s="7" t="inlineStr">
        <is>
          <t>Goods Receipt</t>
        </is>
      </c>
      <c r="D127" s="7" t="inlineStr">
        <is>
          <t>SUP005</t>
        </is>
      </c>
      <c r="E127" s="7">
        <f>IF(E127="","Unknown Supplier",TRIM(E127))</f>
        <v/>
      </c>
      <c r="F127" s="7">
        <f>IF(F127="","Unclassified",TRIM(F127))</f>
        <v/>
      </c>
      <c r="G127" s="7" t="inlineStr">
        <is>
          <t>Freight services</t>
        </is>
      </c>
      <c r="H127" s="7" t="inlineStr">
        <is>
          <t>Operations</t>
        </is>
      </c>
      <c r="I127" s="7" t="inlineStr">
        <is>
          <t>North</t>
        </is>
      </c>
      <c r="J127" s="7" t="n">
        <v>87</v>
      </c>
      <c r="K127" s="7" t="n">
        <v>314.78</v>
      </c>
      <c r="L127" s="7" t="n">
        <v>27386.18</v>
      </c>
      <c r="M127" s="7" t="inlineStr">
        <is>
          <t>Paid</t>
        </is>
      </c>
      <c r="N127" s="7">
        <f>IF(OR(E127="Apex Office Supplies",E127="Apex Office Supply Ltd"),"Apex Office Supplies",IF(OR(E127="Northstar IT Services",E127="North Star IT Svc"),"Northstar IT Services",IF(OR(E127="Metro Logistics",E127="Metro Logistics Pvt Ltd"),"Metro Logistics",E127)))</f>
        <v/>
      </c>
      <c r="O127" s="7">
        <f>IF(AND(ISNUMBER(L127),L127&gt;0),"Valid","Review")</f>
        <v/>
      </c>
      <c r="P127" s="7">
        <f>IF(OR(E127="",F127="",NOT(ISNUMBER(L127))),"Check Missing/Invalid Data","OK")</f>
        <v/>
      </c>
    </row>
    <row r="128">
      <c r="A128" s="7" t="inlineStr">
        <is>
          <t>PO-00232</t>
        </is>
      </c>
      <c r="B128" s="9" t="n">
        <v>45738</v>
      </c>
      <c r="C128" s="7" t="inlineStr">
        <is>
          <t>Invoice</t>
        </is>
      </c>
      <c r="D128" s="7" t="inlineStr">
        <is>
          <t>SUP007</t>
        </is>
      </c>
      <c r="E128" s="7">
        <f>IF(E128="","Unknown Supplier",TRIM(E128))</f>
        <v/>
      </c>
      <c r="F128" s="7">
        <f>IF(F128="","Unclassified",TRIM(F128))</f>
        <v/>
      </c>
      <c r="G128" s="7" t="inlineStr">
        <is>
          <t>Security services</t>
        </is>
      </c>
      <c r="H128" s="7" t="inlineStr">
        <is>
          <t>Operations</t>
        </is>
      </c>
      <c r="I128" s="7" t="inlineStr">
        <is>
          <t>East</t>
        </is>
      </c>
      <c r="J128" s="7" t="n">
        <v>61</v>
      </c>
      <c r="K128" s="7" t="n">
        <v>260.1</v>
      </c>
      <c r="L128" s="7" t="n">
        <v>15865.98</v>
      </c>
      <c r="M128" s="7" t="inlineStr">
        <is>
          <t>Pending</t>
        </is>
      </c>
      <c r="N128" s="7">
        <f>IF(OR(E128="Apex Office Supplies",E128="Apex Office Supply Ltd"),"Apex Office Supplies",IF(OR(E128="Northstar IT Services",E128="North Star IT Svc"),"Northstar IT Services",IF(OR(E128="Metro Logistics",E128="Metro Logistics Pvt Ltd"),"Metro Logistics",E128)))</f>
        <v/>
      </c>
      <c r="O128" s="7">
        <f>IF(AND(ISNUMBER(L128),L128&gt;0),"Valid","Review")</f>
        <v/>
      </c>
      <c r="P128" s="7">
        <f>IF(OR(E128="",F128="",NOT(ISNUMBER(L128))),"Check Missing/Invalid Data","OK")</f>
        <v/>
      </c>
    </row>
    <row r="129">
      <c r="A129" s="7" t="inlineStr">
        <is>
          <t>PO-00486</t>
        </is>
      </c>
      <c r="B129" s="9" t="n">
        <v>45738</v>
      </c>
      <c r="C129" s="7" t="inlineStr">
        <is>
          <t>Goods Receipt</t>
        </is>
      </c>
      <c r="D129" s="7" t="inlineStr">
        <is>
          <t>SUP009</t>
        </is>
      </c>
      <c r="E129" s="7">
        <f>IF(E129="","Unknown Supplier",TRIM(E129))</f>
        <v/>
      </c>
      <c r="F129" s="7">
        <f>IF(F129="","Unclassified",TRIM(F129))</f>
        <v/>
      </c>
      <c r="G129" s="7" t="inlineStr">
        <is>
          <t>Training services</t>
        </is>
      </c>
      <c r="H129" s="7" t="inlineStr">
        <is>
          <t>Operations</t>
        </is>
      </c>
      <c r="I129" s="7" t="inlineStr">
        <is>
          <t>East</t>
        </is>
      </c>
      <c r="J129" s="7" t="n">
        <v>102</v>
      </c>
      <c r="K129" s="7" t="n">
        <v>224.53</v>
      </c>
      <c r="L129" s="7" t="n">
        <v>22902.33</v>
      </c>
      <c r="M129" s="7" t="inlineStr">
        <is>
          <t>Overdue</t>
        </is>
      </c>
      <c r="N129" s="7">
        <f>IF(OR(E129="Apex Office Supplies",E129="Apex Office Supply Ltd"),"Apex Office Supplies",IF(OR(E129="Northstar IT Services",E129="North Star IT Svc"),"Northstar IT Services",IF(OR(E129="Metro Logistics",E129="Metro Logistics Pvt Ltd"),"Metro Logistics",E129)))</f>
        <v/>
      </c>
      <c r="O129" s="7">
        <f>IF(AND(ISNUMBER(L129),L129&gt;0),"Valid","Review")</f>
        <v/>
      </c>
      <c r="P129" s="7">
        <f>IF(OR(E129="",F129="",NOT(ISNUMBER(L129))),"Check Missing/Invalid Data","OK")</f>
        <v/>
      </c>
    </row>
    <row r="130">
      <c r="A130" s="7" t="inlineStr">
        <is>
          <t>PO-00450</t>
        </is>
      </c>
      <c r="B130" s="9" t="n">
        <v>45738</v>
      </c>
      <c r="C130" s="7" t="inlineStr">
        <is>
          <t>Purchase Order</t>
        </is>
      </c>
      <c r="D130" s="7" t="inlineStr">
        <is>
          <t>SUP009</t>
        </is>
      </c>
      <c r="E130" s="7">
        <f>IF(E130="","Unknown Supplier",TRIM(E130))</f>
        <v/>
      </c>
      <c r="F130" s="7">
        <f>IF(F130="","Unclassified",TRIM(F130))</f>
        <v/>
      </c>
      <c r="G130" s="7" t="inlineStr">
        <is>
          <t>Business consulting</t>
        </is>
      </c>
      <c r="H130" s="7" t="inlineStr">
        <is>
          <t>Sales</t>
        </is>
      </c>
      <c r="I130" s="7" t="inlineStr">
        <is>
          <t>East</t>
        </is>
      </c>
      <c r="J130" s="7" t="n">
        <v>112</v>
      </c>
      <c r="K130" s="7" t="n">
        <v>233.01</v>
      </c>
      <c r="L130" s="7" t="n">
        <v>26097.48</v>
      </c>
      <c r="M130" s="7" t="inlineStr">
        <is>
          <t>Paid</t>
        </is>
      </c>
      <c r="N130" s="7">
        <f>IF(OR(E130="Apex Office Supplies",E130="Apex Office Supply Ltd"),"Apex Office Supplies",IF(OR(E130="Northstar IT Services",E130="North Star IT Svc"),"Northstar IT Services",IF(OR(E130="Metro Logistics",E130="Metro Logistics Pvt Ltd"),"Metro Logistics",E130)))</f>
        <v/>
      </c>
      <c r="O130" s="7">
        <f>IF(AND(ISNUMBER(L130),L130&gt;0),"Valid","Review")</f>
        <v/>
      </c>
      <c r="P130" s="7">
        <f>IF(OR(E130="",F130="",NOT(ISNUMBER(L130))),"Check Missing/Invalid Data","OK")</f>
        <v/>
      </c>
    </row>
    <row r="131">
      <c r="A131" s="7" t="inlineStr">
        <is>
          <t>PO-00590</t>
        </is>
      </c>
      <c r="B131" s="9" t="n">
        <v>45738</v>
      </c>
      <c r="C131" s="7" t="inlineStr">
        <is>
          <t>Invoice</t>
        </is>
      </c>
      <c r="D131" s="7" t="inlineStr">
        <is>
          <t>SUP009</t>
        </is>
      </c>
      <c r="E131" s="7">
        <f>IF(E131="","Unknown Supplier",TRIM(E131))</f>
        <v/>
      </c>
      <c r="F131" s="7">
        <f>IF(F131="","Unclassified",TRIM(F131))</f>
        <v/>
      </c>
      <c r="G131" s="7" t="inlineStr">
        <is>
          <t>Audit support</t>
        </is>
      </c>
      <c r="H131" s="7" t="inlineStr">
        <is>
          <t>Technology</t>
        </is>
      </c>
      <c r="I131" s="7" t="inlineStr">
        <is>
          <t>East</t>
        </is>
      </c>
      <c r="J131" s="7" t="n">
        <v>46</v>
      </c>
      <c r="K131" s="7" t="n">
        <v>297.17</v>
      </c>
      <c r="L131" s="7" t="n">
        <v>13669.8</v>
      </c>
      <c r="M131" s="7" t="inlineStr">
        <is>
          <t>Pending</t>
        </is>
      </c>
      <c r="N131" s="7">
        <f>IF(OR(E131="Apex Office Supplies",E131="Apex Office Supply Ltd"),"Apex Office Supplies",IF(OR(E131="Northstar IT Services",E131="North Star IT Svc"),"Northstar IT Services",IF(OR(E131="Metro Logistics",E131="Metro Logistics Pvt Ltd"),"Metro Logistics",E131)))</f>
        <v/>
      </c>
      <c r="O131" s="7">
        <f>IF(AND(ISNUMBER(L131),L131&gt;0),"Valid","Review")</f>
        <v/>
      </c>
      <c r="P131" s="7">
        <f>IF(OR(E131="",F131="",NOT(ISNUMBER(L131))),"Check Missing/Invalid Data","OK")</f>
        <v/>
      </c>
    </row>
    <row r="132">
      <c r="A132" s="7" t="inlineStr">
        <is>
          <t>PO-00475</t>
        </is>
      </c>
      <c r="B132" s="9" t="n">
        <v>45739</v>
      </c>
      <c r="C132" s="7" t="inlineStr">
        <is>
          <t>Purchase Order</t>
        </is>
      </c>
      <c r="D132" s="7" t="inlineStr">
        <is>
          <t>SUP007</t>
        </is>
      </c>
      <c r="E132" s="7">
        <f>IF(E132="","Unknown Supplier",TRIM(E132))</f>
        <v/>
      </c>
      <c r="F132" s="7">
        <f>IF(F132="","Unclassified",TRIM(F132))</f>
        <v/>
      </c>
      <c r="G132" s="7" t="inlineStr">
        <is>
          <t>Cleaning services</t>
        </is>
      </c>
      <c r="H132" s="7" t="inlineStr">
        <is>
          <t>Technology</t>
        </is>
      </c>
      <c r="I132" s="7" t="inlineStr">
        <is>
          <t>East</t>
        </is>
      </c>
      <c r="J132" s="7" t="n">
        <v>45</v>
      </c>
      <c r="K132" s="7" t="n">
        <v>162.96</v>
      </c>
      <c r="L132" s="7" t="n">
        <v>7333.1</v>
      </c>
      <c r="M132" s="7" t="inlineStr">
        <is>
          <t>Pending</t>
        </is>
      </c>
      <c r="N132" s="7">
        <f>IF(OR(E132="Apex Office Supplies",E132="Apex Office Supply Ltd"),"Apex Office Supplies",IF(OR(E132="Northstar IT Services",E132="North Star IT Svc"),"Northstar IT Services",IF(OR(E132="Metro Logistics",E132="Metro Logistics Pvt Ltd"),"Metro Logistics",E132)))</f>
        <v/>
      </c>
      <c r="O132" s="7">
        <f>IF(AND(ISNUMBER(L132),L132&gt;0),"Valid","Review")</f>
        <v/>
      </c>
      <c r="P132" s="7">
        <f>IF(OR(E132="",F132="",NOT(ISNUMBER(L132))),"Check Missing/Invalid Data","OK")</f>
        <v/>
      </c>
    </row>
    <row r="133">
      <c r="A133" s="7" t="inlineStr">
        <is>
          <t>PO-00212</t>
        </is>
      </c>
      <c r="B133" s="9" t="n">
        <v>45739</v>
      </c>
      <c r="C133" s="7" t="inlineStr">
        <is>
          <t>Invoice</t>
        </is>
      </c>
      <c r="D133" s="7" t="inlineStr">
        <is>
          <t>SUP008</t>
        </is>
      </c>
      <c r="E133" s="7">
        <f>IF(E133="","Unknown Supplier",TRIM(E133))</f>
        <v/>
      </c>
      <c r="F133" s="7">
        <f>IF(F133="","Unclassified",TRIM(F133))</f>
        <v/>
      </c>
      <c r="G133" s="7" t="inlineStr">
        <is>
          <t>Protective packaging</t>
        </is>
      </c>
      <c r="H133" s="7" t="inlineStr">
        <is>
          <t>Corporate</t>
        </is>
      </c>
      <c r="I133" s="7" t="inlineStr">
        <is>
          <t>North</t>
        </is>
      </c>
      <c r="J133" s="7" t="n">
        <v>113</v>
      </c>
      <c r="K133" s="7" t="n">
        <v>74.93000000000001</v>
      </c>
      <c r="L133" s="7" t="n">
        <v>8466.65</v>
      </c>
      <c r="M133" s="7" t="inlineStr">
        <is>
          <t>Pending</t>
        </is>
      </c>
      <c r="N133" s="7">
        <f>IF(OR(E133="Apex Office Supplies",E133="Apex Office Supply Ltd"),"Apex Office Supplies",IF(OR(E133="Northstar IT Services",E133="North Star IT Svc"),"Northstar IT Services",IF(OR(E133="Metro Logistics",E133="Metro Logistics Pvt Ltd"),"Metro Logistics",E133)))</f>
        <v/>
      </c>
      <c r="O133" s="7">
        <f>IF(AND(ISNUMBER(L133),L133&gt;0),"Valid","Review")</f>
        <v/>
      </c>
      <c r="P133" s="7">
        <f>IF(OR(E133="",F133="",NOT(ISNUMBER(L133))),"Check Missing/Invalid Data","OK")</f>
        <v/>
      </c>
    </row>
    <row r="134">
      <c r="A134" s="7" t="inlineStr">
        <is>
          <t>PO-00501</t>
        </is>
      </c>
      <c r="B134" s="9" t="n">
        <v>45739</v>
      </c>
      <c r="C134" s="7" t="inlineStr">
        <is>
          <t>Purchase Order</t>
        </is>
      </c>
      <c r="D134" s="7" t="inlineStr">
        <is>
          <t>SUP003</t>
        </is>
      </c>
      <c r="E134" s="7">
        <f>IF(E134="","Unknown Supplier",TRIM(E134))</f>
        <v/>
      </c>
      <c r="F134" s="7">
        <f>IF(F134="","Unclassified",TRIM(F134))</f>
        <v/>
      </c>
      <c r="G134" s="7" t="inlineStr">
        <is>
          <t>IT consulting</t>
        </is>
      </c>
      <c r="H134" s="7" t="inlineStr">
        <is>
          <t>Sales</t>
        </is>
      </c>
      <c r="I134" s="7" t="inlineStr">
        <is>
          <t>East</t>
        </is>
      </c>
      <c r="J134" s="7" t="n">
        <v>112</v>
      </c>
      <c r="K134" s="7" t="n">
        <v>155.38</v>
      </c>
      <c r="L134" s="7" t="n">
        <v>17402.44</v>
      </c>
      <c r="M134" s="7" t="inlineStr">
        <is>
          <t>Paid</t>
        </is>
      </c>
      <c r="N134" s="7">
        <f>IF(OR(E134="Apex Office Supplies",E134="Apex Office Supply Ltd"),"Apex Office Supplies",IF(OR(E134="Northstar IT Services",E134="North Star IT Svc"),"Northstar IT Services",IF(OR(E134="Metro Logistics",E134="Metro Logistics Pvt Ltd"),"Metro Logistics",E134)))</f>
        <v/>
      </c>
      <c r="O134" s="7">
        <f>IF(AND(ISNUMBER(L134),L134&gt;0),"Valid","Review")</f>
        <v/>
      </c>
      <c r="P134" s="7">
        <f>IF(OR(E134="",F134="",NOT(ISNUMBER(L134))),"Check Missing/Invalid Data","OK")</f>
        <v/>
      </c>
    </row>
    <row r="135">
      <c r="A135" s="7" t="inlineStr">
        <is>
          <t>PO-00175</t>
        </is>
      </c>
      <c r="B135" s="9" t="n">
        <v>45740</v>
      </c>
      <c r="C135" s="7" t="inlineStr">
        <is>
          <t>Invoice</t>
        </is>
      </c>
      <c r="D135" s="7" t="inlineStr">
        <is>
          <t>SUP005</t>
        </is>
      </c>
      <c r="E135" s="7">
        <f>IF(E135="","Unknown Supplier",TRIM(E135))</f>
        <v/>
      </c>
      <c r="F135" s="7">
        <f>IF(F135="","Unclassified",TRIM(F135))</f>
        <v/>
      </c>
      <c r="G135" s="7" t="inlineStr">
        <is>
          <t>Freight services</t>
        </is>
      </c>
      <c r="H135" s="7" t="inlineStr">
        <is>
          <t>Operations</t>
        </is>
      </c>
      <c r="I135" s="7" t="inlineStr">
        <is>
          <t>West</t>
        </is>
      </c>
      <c r="J135" s="7" t="n">
        <v>107</v>
      </c>
      <c r="K135" s="7" t="n">
        <v>147.74</v>
      </c>
      <c r="L135" s="7" t="n">
        <v>15807.87</v>
      </c>
      <c r="M135" s="7" t="inlineStr">
        <is>
          <t>Pending</t>
        </is>
      </c>
      <c r="N135" s="7">
        <f>IF(OR(E135="Apex Office Supplies",E135="Apex Office Supply Ltd"),"Apex Office Supplies",IF(OR(E135="Northstar IT Services",E135="North Star IT Svc"),"Northstar IT Services",IF(OR(E135="Metro Logistics",E135="Metro Logistics Pvt Ltd"),"Metro Logistics",E135)))</f>
        <v/>
      </c>
      <c r="O135" s="7">
        <f>IF(AND(ISNUMBER(L135),L135&gt;0),"Valid","Review")</f>
        <v/>
      </c>
      <c r="P135" s="7">
        <f>IF(OR(E135="",F135="",NOT(ISNUMBER(L135))),"Check Missing/Invalid Data","OK")</f>
        <v/>
      </c>
    </row>
    <row r="136">
      <c r="A136" s="7" t="inlineStr">
        <is>
          <t>PO-00411</t>
        </is>
      </c>
      <c r="B136" s="9" t="n">
        <v>45741</v>
      </c>
      <c r="C136" s="7" t="inlineStr">
        <is>
          <t>Purchase Order</t>
        </is>
      </c>
      <c r="D136" s="7" t="inlineStr">
        <is>
          <t>SUP005</t>
        </is>
      </c>
      <c r="E136" s="7">
        <f>IF(E136="","Unknown Supplier",TRIM(E136))</f>
        <v/>
      </c>
      <c r="F136" s="7">
        <f>IF(F136="","Unclassified",TRIM(F136))</f>
        <v/>
      </c>
      <c r="G136" s="7" t="inlineStr">
        <is>
          <t>Courier services</t>
        </is>
      </c>
      <c r="H136" s="7" t="inlineStr">
        <is>
          <t>Corporate</t>
        </is>
      </c>
      <c r="I136" s="7" t="inlineStr">
        <is>
          <t>South</t>
        </is>
      </c>
      <c r="J136" s="7" t="n">
        <v>37</v>
      </c>
      <c r="K136" s="7" t="n">
        <v>571.41</v>
      </c>
      <c r="L136" s="7" t="n">
        <v>21142.3</v>
      </c>
      <c r="M136" s="7" t="inlineStr">
        <is>
          <t>Overdue</t>
        </is>
      </c>
      <c r="N136" s="7">
        <f>IF(OR(E136="Apex Office Supplies",E136="Apex Office Supply Ltd"),"Apex Office Supplies",IF(OR(E136="Northstar IT Services",E136="North Star IT Svc"),"Northstar IT Services",IF(OR(E136="Metro Logistics",E136="Metro Logistics Pvt Ltd"),"Metro Logistics",E136)))</f>
        <v/>
      </c>
      <c r="O136" s="7">
        <f>IF(AND(ISNUMBER(L136),L136&gt;0),"Valid","Review")</f>
        <v/>
      </c>
      <c r="P136" s="7">
        <f>IF(OR(E136="",F136="",NOT(ISNUMBER(L136))),"Check Missing/Invalid Data","OK")</f>
        <v/>
      </c>
    </row>
    <row r="137">
      <c r="A137" s="7" t="inlineStr">
        <is>
          <t>PO-00019</t>
        </is>
      </c>
      <c r="B137" s="9" t="n">
        <v>45742</v>
      </c>
      <c r="C137" s="7" t="inlineStr">
        <is>
          <t>Goods Receipt</t>
        </is>
      </c>
      <c r="D137" s="7" t="inlineStr">
        <is>
          <t>SUP005</t>
        </is>
      </c>
      <c r="E137" s="7">
        <f>IF(E137="","Unknown Supplier",TRIM(E137))</f>
        <v/>
      </c>
      <c r="F137" s="7">
        <f>IF(F137="","Unclassified",TRIM(F137))</f>
        <v/>
      </c>
      <c r="G137" s="7" t="inlineStr">
        <is>
          <t>Warehouse handling</t>
        </is>
      </c>
      <c r="H137" s="7" t="inlineStr">
        <is>
          <t>Operations</t>
        </is>
      </c>
      <c r="I137" s="7" t="inlineStr">
        <is>
          <t>East</t>
        </is>
      </c>
      <c r="J137" s="7" t="n">
        <v>28</v>
      </c>
      <c r="K137" s="7" t="n">
        <v>665.79</v>
      </c>
      <c r="L137" s="7" t="n">
        <v>18642.03</v>
      </c>
      <c r="M137" s="7" t="inlineStr">
        <is>
          <t>Pending</t>
        </is>
      </c>
      <c r="N137" s="7">
        <f>IF(OR(E137="Apex Office Supplies",E137="Apex Office Supply Ltd"),"Apex Office Supplies",IF(OR(E137="Northstar IT Services",E137="North Star IT Svc"),"Northstar IT Services",IF(OR(E137="Metro Logistics",E137="Metro Logistics Pvt Ltd"),"Metro Logistics",E137)))</f>
        <v/>
      </c>
      <c r="O137" s="7">
        <f>IF(AND(ISNUMBER(L137),L137&gt;0),"Valid","Review")</f>
        <v/>
      </c>
      <c r="P137" s="7">
        <f>IF(OR(E137="",F137="",NOT(ISNUMBER(L137))),"Check Missing/Invalid Data","OK")</f>
        <v/>
      </c>
    </row>
    <row r="138">
      <c r="A138" s="7" t="inlineStr">
        <is>
          <t>PO-00510</t>
        </is>
      </c>
      <c r="B138" s="9" t="n">
        <v>45743</v>
      </c>
      <c r="C138" s="7" t="inlineStr">
        <is>
          <t>Goods Receipt</t>
        </is>
      </c>
      <c r="D138" s="7" t="inlineStr">
        <is>
          <t>SUP005</t>
        </is>
      </c>
      <c r="E138" s="7">
        <f>IF(E138="","Unknown Supplier",TRIM(E138))</f>
        <v/>
      </c>
      <c r="F138" s="7">
        <f>IF(F138="","Unclassified",TRIM(F138))</f>
        <v/>
      </c>
      <c r="G138" s="7" t="inlineStr">
        <is>
          <t>Warehouse handling</t>
        </is>
      </c>
      <c r="H138" s="7" t="inlineStr">
        <is>
          <t>Corporate</t>
        </is>
      </c>
      <c r="I138" s="7" t="inlineStr">
        <is>
          <t>East</t>
        </is>
      </c>
      <c r="J138" s="7" t="n">
        <v>52</v>
      </c>
      <c r="K138" s="7" t="n">
        <v>305.92</v>
      </c>
      <c r="L138" s="7" t="n">
        <v>15907.81</v>
      </c>
      <c r="M138" s="7" t="inlineStr">
        <is>
          <t>Paid</t>
        </is>
      </c>
      <c r="N138" s="7">
        <f>IF(OR(E138="Apex Office Supplies",E138="Apex Office Supply Ltd"),"Apex Office Supplies",IF(OR(E138="Northstar IT Services",E138="North Star IT Svc"),"Northstar IT Services",IF(OR(E138="Metro Logistics",E138="Metro Logistics Pvt Ltd"),"Metro Logistics",E138)))</f>
        <v/>
      </c>
      <c r="O138" s="7">
        <f>IF(AND(ISNUMBER(L138),L138&gt;0),"Valid","Review")</f>
        <v/>
      </c>
      <c r="P138" s="7">
        <f>IF(OR(E138="",F138="",NOT(ISNUMBER(L138))),"Check Missing/Invalid Data","OK")</f>
        <v/>
      </c>
    </row>
    <row r="139">
      <c r="A139" s="7" t="inlineStr">
        <is>
          <t>PO-00527</t>
        </is>
      </c>
      <c r="B139" s="9" t="n">
        <v>45744</v>
      </c>
      <c r="C139" s="7" t="inlineStr">
        <is>
          <t>Purchase Order</t>
        </is>
      </c>
      <c r="D139" s="7" t="inlineStr">
        <is>
          <t>SUP011</t>
        </is>
      </c>
      <c r="E139" s="7">
        <f>IF(E139="","Unknown Supplier",TRIM(E139))</f>
        <v/>
      </c>
      <c r="F139" s="7">
        <f>IF(F139="","Unclassified",TRIM(F139))</f>
        <v/>
      </c>
      <c r="G139" s="7" t="inlineStr">
        <is>
          <t>Facility maintenance</t>
        </is>
      </c>
      <c r="H139" s="7" t="inlineStr">
        <is>
          <t>Sales</t>
        </is>
      </c>
      <c r="I139" s="7" t="inlineStr">
        <is>
          <t>East</t>
        </is>
      </c>
      <c r="J139" s="7" t="n">
        <v>21</v>
      </c>
      <c r="K139" s="7" t="n">
        <v>563.42</v>
      </c>
      <c r="L139" s="7" t="n">
        <v>11831.74</v>
      </c>
      <c r="M139" s="7" t="inlineStr">
        <is>
          <t>Overdue</t>
        </is>
      </c>
      <c r="N139" s="7">
        <f>IF(OR(E139="Apex Office Supplies",E139="Apex Office Supply Ltd"),"Apex Office Supplies",IF(OR(E139="Northstar IT Services",E139="North Star IT Svc"),"Northstar IT Services",IF(OR(E139="Metro Logistics",E139="Metro Logistics Pvt Ltd"),"Metro Logistics",E139)))</f>
        <v/>
      </c>
      <c r="O139" s="7">
        <f>IF(AND(ISNUMBER(L139),L139&gt;0),"Valid","Review")</f>
        <v/>
      </c>
      <c r="P139" s="7">
        <f>IF(OR(E139="",F139="",NOT(ISNUMBER(L139))),"Check Missing/Invalid Data","OK")</f>
        <v/>
      </c>
    </row>
    <row r="140">
      <c r="A140" s="7" t="inlineStr">
        <is>
          <t>PO-00367</t>
        </is>
      </c>
      <c r="B140" s="9" t="n">
        <v>45744</v>
      </c>
      <c r="C140" s="7" t="inlineStr">
        <is>
          <t>Purchase Order</t>
        </is>
      </c>
      <c r="D140" s="7" t="inlineStr">
        <is>
          <t>SUP010</t>
        </is>
      </c>
      <c r="E140" s="7">
        <f>IF(E140="","Unknown Supplier",TRIM(E140))</f>
        <v/>
      </c>
      <c r="F140" s="7">
        <f>IF(F140="","Unclassified",TRIM(F140))</f>
        <v/>
      </c>
      <c r="G140" s="7" t="inlineStr">
        <is>
          <t>Water services</t>
        </is>
      </c>
      <c r="H140" s="7" t="inlineStr">
        <is>
          <t>Sales</t>
        </is>
      </c>
      <c r="I140" s="7" t="inlineStr">
        <is>
          <t>South</t>
        </is>
      </c>
      <c r="J140" s="7" t="n">
        <v>64</v>
      </c>
      <c r="K140" s="7" t="n">
        <v>204.26</v>
      </c>
      <c r="L140" s="7" t="n">
        <v>13072.82</v>
      </c>
      <c r="M140" s="7" t="inlineStr">
        <is>
          <t>Pending</t>
        </is>
      </c>
      <c r="N140" s="7">
        <f>IF(OR(E140="Apex Office Supplies",E140="Apex Office Supply Ltd"),"Apex Office Supplies",IF(OR(E140="Northstar IT Services",E140="North Star IT Svc"),"Northstar IT Services",IF(OR(E140="Metro Logistics",E140="Metro Logistics Pvt Ltd"),"Metro Logistics",E140)))</f>
        <v/>
      </c>
      <c r="O140" s="7">
        <f>IF(AND(ISNUMBER(L140),L140&gt;0),"Valid","Review")</f>
        <v/>
      </c>
      <c r="P140" s="7">
        <f>IF(OR(E140="",F140="",NOT(ISNUMBER(L140))),"Check Missing/Invalid Data","OK")</f>
        <v/>
      </c>
    </row>
    <row r="141">
      <c r="A141" s="7" t="inlineStr">
        <is>
          <t>PO-00374</t>
        </is>
      </c>
      <c r="B141" s="9" t="n">
        <v>45746</v>
      </c>
      <c r="C141" s="7" t="inlineStr">
        <is>
          <t>Goods Receipt</t>
        </is>
      </c>
      <c r="D141" s="7" t="inlineStr">
        <is>
          <t>SUP003</t>
        </is>
      </c>
      <c r="E141" s="7">
        <f>IF(E141="","Unknown Supplier",TRIM(E141))</f>
        <v/>
      </c>
      <c r="F141" s="7">
        <f>IF(F141="","Unclassified",TRIM(F141))</f>
        <v/>
      </c>
      <c r="G141" s="7" t="inlineStr">
        <is>
          <t>Cloud services</t>
        </is>
      </c>
      <c r="H141" s="7" t="inlineStr">
        <is>
          <t>Manufacturing</t>
        </is>
      </c>
      <c r="I141" s="7" t="inlineStr">
        <is>
          <t>North</t>
        </is>
      </c>
      <c r="J141" s="7" t="n">
        <v>95</v>
      </c>
      <c r="K141" s="7" t="n">
        <v>103.9</v>
      </c>
      <c r="L141" s="7" t="n">
        <v>9870.059999999999</v>
      </c>
      <c r="M141" s="7" t="inlineStr">
        <is>
          <t>Overdue</t>
        </is>
      </c>
      <c r="N141" s="7">
        <f>IF(OR(E141="Apex Office Supplies",E141="Apex Office Supply Ltd"),"Apex Office Supplies",IF(OR(E141="Northstar IT Services",E141="North Star IT Svc"),"Northstar IT Services",IF(OR(E141="Metro Logistics",E141="Metro Logistics Pvt Ltd"),"Metro Logistics",E141)))</f>
        <v/>
      </c>
      <c r="O141" s="7">
        <f>IF(AND(ISNUMBER(L141),L141&gt;0),"Valid","Review")</f>
        <v/>
      </c>
      <c r="P141" s="7">
        <f>IF(OR(E141="",F141="",NOT(ISNUMBER(L141))),"Check Missing/Invalid Data","OK")</f>
        <v/>
      </c>
    </row>
    <row r="142">
      <c r="A142" s="7" t="inlineStr">
        <is>
          <t>PO-00403</t>
        </is>
      </c>
      <c r="B142" s="9" t="n">
        <v>45746</v>
      </c>
      <c r="C142" s="7" t="inlineStr">
        <is>
          <t>Goods Receipt</t>
        </is>
      </c>
      <c r="D142" s="7" t="inlineStr">
        <is>
          <t>SUP005</t>
        </is>
      </c>
      <c r="E142" s="7">
        <f>IF(E142="","Unknown Supplier",TRIM(E142))</f>
        <v/>
      </c>
      <c r="F142" s="7">
        <f>IF(F142="","Unclassified",TRIM(F142))</f>
        <v/>
      </c>
      <c r="G142" s="7" t="inlineStr">
        <is>
          <t>Courier services</t>
        </is>
      </c>
      <c r="H142" s="7" t="inlineStr">
        <is>
          <t>Corporate</t>
        </is>
      </c>
      <c r="I142" s="7" t="inlineStr">
        <is>
          <t>West</t>
        </is>
      </c>
      <c r="J142" s="7" t="n">
        <v>88</v>
      </c>
      <c r="K142" s="7" t="n">
        <v>215.87</v>
      </c>
      <c r="L142" s="7" t="n">
        <v>18996.16</v>
      </c>
      <c r="M142" s="7" t="inlineStr">
        <is>
          <t>Pending</t>
        </is>
      </c>
      <c r="N142" s="7">
        <f>IF(OR(E142="Apex Office Supplies",E142="Apex Office Supply Ltd"),"Apex Office Supplies",IF(OR(E142="Northstar IT Services",E142="North Star IT Svc"),"Northstar IT Services",IF(OR(E142="Metro Logistics",E142="Metro Logistics Pvt Ltd"),"Metro Logistics",E142)))</f>
        <v/>
      </c>
      <c r="O142" s="7">
        <f>IF(AND(ISNUMBER(L142),L142&gt;0),"Valid","Review")</f>
        <v/>
      </c>
      <c r="P142" s="7">
        <f>IF(OR(E142="",F142="",NOT(ISNUMBER(L142))),"Check Missing/Invalid Data","OK")</f>
        <v/>
      </c>
    </row>
    <row r="143">
      <c r="A143" s="7" t="inlineStr">
        <is>
          <t>PO-00363</t>
        </is>
      </c>
      <c r="B143" s="9" t="n">
        <v>45747</v>
      </c>
      <c r="C143" s="7" t="inlineStr">
        <is>
          <t>Goods Receipt</t>
        </is>
      </c>
      <c r="D143" s="7" t="inlineStr">
        <is>
          <t>SUP001</t>
        </is>
      </c>
      <c r="E143" s="7">
        <f>IF(E143="","Unknown Supplier",TRIM(E143))</f>
        <v/>
      </c>
      <c r="F143" s="7">
        <f>IF(F143="","Unclassified",TRIM(F143))</f>
        <v/>
      </c>
      <c r="G143" s="7" t="inlineStr">
        <is>
          <t>Toner cartridges</t>
        </is>
      </c>
      <c r="H143" s="7" t="inlineStr">
        <is>
          <t>Operations</t>
        </is>
      </c>
      <c r="I143" s="7" t="inlineStr">
        <is>
          <t>North</t>
        </is>
      </c>
      <c r="J143" s="7" t="n">
        <v>72</v>
      </c>
      <c r="K143" s="7" t="n">
        <v>213.89</v>
      </c>
      <c r="L143" s="7" t="n">
        <v>15400.27</v>
      </c>
      <c r="M143" s="7" t="inlineStr">
        <is>
          <t>Pending</t>
        </is>
      </c>
      <c r="N143" s="7">
        <f>IF(OR(E143="Apex Office Supplies",E143="Apex Office Supply Ltd"),"Apex Office Supplies",IF(OR(E143="Northstar IT Services",E143="North Star IT Svc"),"Northstar IT Services",IF(OR(E143="Metro Logistics",E143="Metro Logistics Pvt Ltd"),"Metro Logistics",E143)))</f>
        <v/>
      </c>
      <c r="O143" s="7">
        <f>IF(AND(ISNUMBER(L143),L143&gt;0),"Valid","Review")</f>
        <v/>
      </c>
      <c r="P143" s="7">
        <f>IF(OR(E143="",F143="",NOT(ISNUMBER(L143))),"Check Missing/Invalid Data","OK")</f>
        <v/>
      </c>
    </row>
    <row r="144">
      <c r="A144" s="7" t="inlineStr">
        <is>
          <t>PO-00055</t>
        </is>
      </c>
      <c r="B144" s="9" t="n">
        <v>45748</v>
      </c>
      <c r="C144" s="7" t="inlineStr">
        <is>
          <t>Purchase Order</t>
        </is>
      </c>
      <c r="D144" s="7" t="inlineStr">
        <is>
          <t>SUP012</t>
        </is>
      </c>
      <c r="E144" s="7">
        <f>IF(E144="","Unknown Supplier",TRIM(E144))</f>
        <v/>
      </c>
      <c r="F144" s="7">
        <f>IF(F144="","Unclassified",TRIM(F144))</f>
        <v/>
      </c>
      <c r="G144" s="7" t="inlineStr">
        <is>
          <t>Equipment servicing</t>
        </is>
      </c>
      <c r="H144" s="7" t="inlineStr">
        <is>
          <t>Operations</t>
        </is>
      </c>
      <c r="I144" s="7" t="inlineStr">
        <is>
          <t>West</t>
        </is>
      </c>
      <c r="J144" s="7" t="n">
        <v>32</v>
      </c>
      <c r="K144" s="7" t="n">
        <v>31.81</v>
      </c>
      <c r="L144" s="7" t="n">
        <v>1017.9</v>
      </c>
      <c r="M144" s="7" t="inlineStr">
        <is>
          <t>Overdue</t>
        </is>
      </c>
      <c r="N144" s="7">
        <f>IF(OR(E144="Apex Office Supplies",E144="Apex Office Supply Ltd"),"Apex Office Supplies",IF(OR(E144="Northstar IT Services",E144="North Star IT Svc"),"Northstar IT Services",IF(OR(E144="Metro Logistics",E144="Metro Logistics Pvt Ltd"),"Metro Logistics",E144)))</f>
        <v/>
      </c>
      <c r="O144" s="7">
        <f>IF(AND(ISNUMBER(L144),L144&gt;0),"Valid","Review")</f>
        <v/>
      </c>
      <c r="P144" s="7">
        <f>IF(OR(E144="",F144="",NOT(ISNUMBER(L144))),"Check Missing/Invalid Data","OK")</f>
        <v/>
      </c>
    </row>
    <row r="145">
      <c r="A145" s="7" t="inlineStr">
        <is>
          <t>PO-00234</t>
        </is>
      </c>
      <c r="B145" s="9" t="n">
        <v>45748</v>
      </c>
      <c r="C145" s="7" t="inlineStr">
        <is>
          <t>Purchase Order</t>
        </is>
      </c>
      <c r="D145" s="7" t="inlineStr">
        <is>
          <t>SUP001</t>
        </is>
      </c>
      <c r="E145" s="7">
        <f>IF(E145="","Unknown Supplier",TRIM(E145))</f>
        <v/>
      </c>
      <c r="F145" s="7">
        <f>IF(F145="","Unclassified",TRIM(F145))</f>
        <v/>
      </c>
      <c r="G145" s="7" t="inlineStr">
        <is>
          <t>Toner cartridges</t>
        </is>
      </c>
      <c r="H145" s="7" t="inlineStr">
        <is>
          <t>Technology</t>
        </is>
      </c>
      <c r="I145" s="7" t="inlineStr">
        <is>
          <t>North</t>
        </is>
      </c>
      <c r="J145" s="7" t="n">
        <v>64</v>
      </c>
      <c r="K145" s="7" t="n">
        <v>112.79</v>
      </c>
      <c r="L145" s="7" t="n">
        <v>7218.26</v>
      </c>
      <c r="M145" s="7" t="inlineStr">
        <is>
          <t>Paid</t>
        </is>
      </c>
      <c r="N145" s="7">
        <f>IF(OR(E145="Apex Office Supplies",E145="Apex Office Supply Ltd"),"Apex Office Supplies",IF(OR(E145="Northstar IT Services",E145="North Star IT Svc"),"Northstar IT Services",IF(OR(E145="Metro Logistics",E145="Metro Logistics Pvt Ltd"),"Metro Logistics",E145)))</f>
        <v/>
      </c>
      <c r="O145" s="7">
        <f>IF(AND(ISNUMBER(L145),L145&gt;0),"Valid","Review")</f>
        <v/>
      </c>
      <c r="P145" s="7">
        <f>IF(OR(E145="",F145="",NOT(ISNUMBER(L145))),"Check Missing/Invalid Data","OK")</f>
        <v/>
      </c>
    </row>
    <row r="146">
      <c r="A146" s="7" t="inlineStr">
        <is>
          <t>PO-00042</t>
        </is>
      </c>
      <c r="B146" s="9" t="n">
        <v>45748</v>
      </c>
      <c r="C146" s="7" t="inlineStr">
        <is>
          <t>Goods Receipt</t>
        </is>
      </c>
      <c r="D146" s="7" t="inlineStr">
        <is>
          <t>SUP007</t>
        </is>
      </c>
      <c r="E146" s="7">
        <f>IF(E146="","Unknown Supplier",TRIM(E146))</f>
        <v/>
      </c>
      <c r="F146" s="7">
        <f>IF(F146="","Unclassified",TRIM(F146))</f>
        <v/>
      </c>
      <c r="G146" s="7" t="inlineStr">
        <is>
          <t>Audit support</t>
        </is>
      </c>
      <c r="H146" s="7" t="inlineStr">
        <is>
          <t>Operations</t>
        </is>
      </c>
      <c r="I146" s="7" t="inlineStr">
        <is>
          <t>East</t>
        </is>
      </c>
      <c r="J146" s="7" t="n">
        <v>53</v>
      </c>
      <c r="K146" s="7" t="n">
        <v>452.56</v>
      </c>
      <c r="L146" s="7" t="n">
        <v>23985.42</v>
      </c>
      <c r="M146" s="7" t="inlineStr">
        <is>
          <t>Paid</t>
        </is>
      </c>
      <c r="N146" s="7">
        <f>IF(OR(E146="Apex Office Supplies",E146="Apex Office Supply Ltd"),"Apex Office Supplies",IF(OR(E146="Northstar IT Services",E146="North Star IT Svc"),"Northstar IT Services",IF(OR(E146="Metro Logistics",E146="Metro Logistics Pvt Ltd"),"Metro Logistics",E146)))</f>
        <v/>
      </c>
      <c r="O146" s="7">
        <f>IF(AND(ISNUMBER(L146),L146&gt;0),"Valid","Review")</f>
        <v/>
      </c>
      <c r="P146" s="7">
        <f>IF(OR(E146="",F146="",NOT(ISNUMBER(L146))),"Check Missing/Invalid Data","OK")</f>
        <v/>
      </c>
    </row>
    <row r="147">
      <c r="A147" s="7" t="inlineStr">
        <is>
          <t>PO-00583</t>
        </is>
      </c>
      <c r="B147" s="9" t="n">
        <v>45749</v>
      </c>
      <c r="C147" s="7" t="inlineStr">
        <is>
          <t>Purchase Order</t>
        </is>
      </c>
      <c r="D147" s="7" t="inlineStr">
        <is>
          <t>SUP001</t>
        </is>
      </c>
      <c r="E147" s="7">
        <f>IF(E147="","Unknown Supplier",TRIM(E147))</f>
        <v/>
      </c>
      <c r="F147" s="7">
        <f>IF(F147="","Unclassified",TRIM(F147))</f>
        <v/>
      </c>
      <c r="G147" s="7" t="inlineStr">
        <is>
          <t>Toner cartridges</t>
        </is>
      </c>
      <c r="H147" s="7" t="inlineStr">
        <is>
          <t>Sales</t>
        </is>
      </c>
      <c r="I147" s="7" t="inlineStr">
        <is>
          <t>West</t>
        </is>
      </c>
      <c r="J147" s="7" t="n">
        <v>13</v>
      </c>
      <c r="K147" s="7" t="n">
        <v>676.8</v>
      </c>
      <c r="L147" s="7" t="n">
        <v>8798.42</v>
      </c>
      <c r="M147" s="7" t="inlineStr">
        <is>
          <t>Overdue</t>
        </is>
      </c>
      <c r="N147" s="7">
        <f>IF(OR(E147="Apex Office Supplies",E147="Apex Office Supply Ltd"),"Apex Office Supplies",IF(OR(E147="Northstar IT Services",E147="North Star IT Svc"),"Northstar IT Services",IF(OR(E147="Metro Logistics",E147="Metro Logistics Pvt Ltd"),"Metro Logistics",E147)))</f>
        <v/>
      </c>
      <c r="O147" s="7">
        <f>IF(AND(ISNUMBER(L147),L147&gt;0),"Valid","Review")</f>
        <v/>
      </c>
      <c r="P147" s="7">
        <f>IF(OR(E147="",F147="",NOT(ISNUMBER(L147))),"Check Missing/Invalid Data","OK")</f>
        <v/>
      </c>
    </row>
    <row r="148">
      <c r="A148" s="7" t="inlineStr">
        <is>
          <t>PO-00426</t>
        </is>
      </c>
      <c r="B148" s="9" t="n">
        <v>45750</v>
      </c>
      <c r="C148" s="7" t="inlineStr">
        <is>
          <t>Invoice</t>
        </is>
      </c>
      <c r="D148" s="7" t="inlineStr">
        <is>
          <t>SUP002</t>
        </is>
      </c>
      <c r="E148" s="7">
        <f>IF(E148="","Unknown Supplier",TRIM(E148))</f>
        <v/>
      </c>
      <c r="F148" s="7">
        <f>IF(F148="","Unclassified",TRIM(F148))</f>
        <v/>
      </c>
      <c r="G148" s="7" t="inlineStr">
        <is>
          <t>Toner cartridges</t>
        </is>
      </c>
      <c r="H148" s="7" t="inlineStr">
        <is>
          <t>Corporate</t>
        </is>
      </c>
      <c r="I148" s="7" t="inlineStr">
        <is>
          <t>North</t>
        </is>
      </c>
      <c r="J148" s="7" t="n">
        <v>23</v>
      </c>
      <c r="K148" s="7" t="n">
        <v>495.78</v>
      </c>
      <c r="L148" s="7" t="n">
        <v>11402.87</v>
      </c>
      <c r="M148" s="7" t="inlineStr">
        <is>
          <t>Pending</t>
        </is>
      </c>
      <c r="N148" s="7">
        <f>IF(OR(E148="Apex Office Supplies",E148="Apex Office Supply Ltd"),"Apex Office Supplies",IF(OR(E148="Northstar IT Services",E148="North Star IT Svc"),"Northstar IT Services",IF(OR(E148="Metro Logistics",E148="Metro Logistics Pvt Ltd"),"Metro Logistics",E148)))</f>
        <v/>
      </c>
      <c r="O148" s="7">
        <f>IF(AND(ISNUMBER(L148),L148&gt;0),"Valid","Review")</f>
        <v/>
      </c>
      <c r="P148" s="7">
        <f>IF(OR(E148="",F148="",NOT(ISNUMBER(L148))),"Check Missing/Invalid Data","OK")</f>
        <v/>
      </c>
    </row>
    <row r="149">
      <c r="A149" s="7" t="inlineStr">
        <is>
          <t>PO-00185</t>
        </is>
      </c>
      <c r="B149" s="9" t="n">
        <v>45751</v>
      </c>
      <c r="C149" s="7" t="inlineStr">
        <is>
          <t>Purchase Order</t>
        </is>
      </c>
      <c r="D149" s="7" t="inlineStr">
        <is>
          <t>SUP003</t>
        </is>
      </c>
      <c r="E149" s="7">
        <f>IF(E149="","Unknown Supplier",TRIM(E149))</f>
        <v/>
      </c>
      <c r="F149" s="7">
        <f>IF(F149="","Unclassified",TRIM(F149))</f>
        <v/>
      </c>
      <c r="G149" s="7" t="inlineStr">
        <is>
          <t>Digital campaign</t>
        </is>
      </c>
      <c r="H149" s="7" t="inlineStr">
        <is>
          <t>Corporate</t>
        </is>
      </c>
      <c r="I149" s="7" t="inlineStr">
        <is>
          <t>East</t>
        </is>
      </c>
      <c r="J149" s="7" t="n">
        <v>26</v>
      </c>
      <c r="K149" s="7" t="n">
        <v>30.05</v>
      </c>
      <c r="L149" s="7" t="n">
        <v>781.27</v>
      </c>
      <c r="M149" s="7" t="inlineStr">
        <is>
          <t>Pending</t>
        </is>
      </c>
      <c r="N149" s="7">
        <f>IF(OR(E149="Apex Office Supplies",E149="Apex Office Supply Ltd"),"Apex Office Supplies",IF(OR(E149="Northstar IT Services",E149="North Star IT Svc"),"Northstar IT Services",IF(OR(E149="Metro Logistics",E149="Metro Logistics Pvt Ltd"),"Metro Logistics",E149)))</f>
        <v/>
      </c>
      <c r="O149" s="7">
        <f>IF(AND(ISNUMBER(L149),L149&gt;0),"Valid","Review")</f>
        <v/>
      </c>
      <c r="P149" s="7">
        <f>IF(OR(E149="",F149="",NOT(ISNUMBER(L149))),"Check Missing/Invalid Data","OK")</f>
        <v/>
      </c>
    </row>
    <row r="150">
      <c r="A150" s="7" t="inlineStr">
        <is>
          <t>PO-00075</t>
        </is>
      </c>
      <c r="B150" s="9" t="n">
        <v>45751</v>
      </c>
      <c r="C150" s="7" t="inlineStr">
        <is>
          <t>Invoice</t>
        </is>
      </c>
      <c r="D150" s="7" t="inlineStr">
        <is>
          <t>SUP008</t>
        </is>
      </c>
      <c r="E150" s="7">
        <f>IF(E150="","Unknown Supplier",TRIM(E150))</f>
        <v/>
      </c>
      <c r="F150" s="7">
        <f>IF(F150="","Unclassified",TRIM(F150))</f>
        <v/>
      </c>
      <c r="G150" s="7" t="inlineStr">
        <is>
          <t>Labels</t>
        </is>
      </c>
      <c r="H150" s="7" t="inlineStr">
        <is>
          <t>Technology</t>
        </is>
      </c>
      <c r="I150" s="7" t="inlineStr">
        <is>
          <t>North</t>
        </is>
      </c>
      <c r="J150" s="7" t="n">
        <v>44</v>
      </c>
      <c r="K150" s="7" t="n">
        <v>326.94</v>
      </c>
      <c r="L150" s="7" t="n">
        <v>14385.24</v>
      </c>
      <c r="M150" s="7" t="inlineStr">
        <is>
          <t>Overdue</t>
        </is>
      </c>
      <c r="N150" s="7">
        <f>IF(OR(E150="Apex Office Supplies",E150="Apex Office Supply Ltd"),"Apex Office Supplies",IF(OR(E150="Northstar IT Services",E150="North Star IT Svc"),"Northstar IT Services",IF(OR(E150="Metro Logistics",E150="Metro Logistics Pvt Ltd"),"Metro Logistics",E150)))</f>
        <v/>
      </c>
      <c r="O150" s="7">
        <f>IF(AND(ISNUMBER(L150),L150&gt;0),"Valid","Review")</f>
        <v/>
      </c>
      <c r="P150" s="7">
        <f>IF(OR(E150="",F150="",NOT(ISNUMBER(L150))),"Check Missing/Invalid Data","OK")</f>
        <v/>
      </c>
    </row>
    <row r="151">
      <c r="A151" s="7" t="inlineStr">
        <is>
          <t>PO-00512</t>
        </is>
      </c>
      <c r="B151" s="9" t="n">
        <v>45751</v>
      </c>
      <c r="C151" s="7" t="inlineStr">
        <is>
          <t>Goods Receipt</t>
        </is>
      </c>
      <c r="D151" s="7" t="inlineStr">
        <is>
          <t>SUP010</t>
        </is>
      </c>
      <c r="E151" s="7">
        <f>IF(E151="","Unknown Supplier",TRIM(E151))</f>
        <v/>
      </c>
      <c r="F151" s="7">
        <f>IF(F151="","Unclassified",TRIM(F151))</f>
        <v/>
      </c>
      <c r="G151" s="7" t="inlineStr">
        <is>
          <t>Water services</t>
        </is>
      </c>
      <c r="H151" s="7" t="inlineStr">
        <is>
          <t>Sales</t>
        </is>
      </c>
      <c r="I151" s="7" t="inlineStr">
        <is>
          <t>North</t>
        </is>
      </c>
      <c r="J151" s="7" t="n">
        <v>93</v>
      </c>
      <c r="K151" s="7" t="n">
        <v>52.15</v>
      </c>
      <c r="L151" s="7" t="n">
        <v>4849.63</v>
      </c>
      <c r="M151" s="7" t="inlineStr">
        <is>
          <t>Paid</t>
        </is>
      </c>
      <c r="N151" s="7">
        <f>IF(OR(E151="Apex Office Supplies",E151="Apex Office Supply Ltd"),"Apex Office Supplies",IF(OR(E151="Northstar IT Services",E151="North Star IT Svc"),"Northstar IT Services",IF(OR(E151="Metro Logistics",E151="Metro Logistics Pvt Ltd"),"Metro Logistics",E151)))</f>
        <v/>
      </c>
      <c r="O151" s="7">
        <f>IF(AND(ISNUMBER(L151),L151&gt;0),"Valid","Review")</f>
        <v/>
      </c>
      <c r="P151" s="7">
        <f>IF(OR(E151="",F151="",NOT(ISNUMBER(L151))),"Check Missing/Invalid Data","OK")</f>
        <v/>
      </c>
    </row>
    <row r="152">
      <c r="A152" s="7" t="inlineStr">
        <is>
          <t>PO-00305</t>
        </is>
      </c>
      <c r="B152" s="9" t="n">
        <v>45752</v>
      </c>
      <c r="C152" s="7" t="inlineStr">
        <is>
          <t>Goods Receipt</t>
        </is>
      </c>
      <c r="D152" s="7" t="inlineStr">
        <is>
          <t>SUP003</t>
        </is>
      </c>
      <c r="E152" s="7">
        <f>IF(E152="","Unknown Supplier",TRIM(E152))</f>
        <v/>
      </c>
      <c r="F152" s="7">
        <f>IF(F152="","Unclassified",TRIM(F152))</f>
        <v/>
      </c>
      <c r="G152" s="7" t="inlineStr">
        <is>
          <t>IT consulting</t>
        </is>
      </c>
      <c r="H152" s="7" t="inlineStr">
        <is>
          <t>Operations</t>
        </is>
      </c>
      <c r="I152" s="7" t="inlineStr">
        <is>
          <t>West</t>
        </is>
      </c>
      <c r="J152" s="7" t="n">
        <v>4</v>
      </c>
      <c r="K152" s="7" t="n">
        <v>3334.79</v>
      </c>
      <c r="L152" s="7" t="n">
        <v>13339.16</v>
      </c>
      <c r="M152" s="7" t="inlineStr">
        <is>
          <t>Overdue</t>
        </is>
      </c>
      <c r="N152" s="7">
        <f>IF(OR(E152="Apex Office Supplies",E152="Apex Office Supply Ltd"),"Apex Office Supplies",IF(OR(E152="Northstar IT Services",E152="North Star IT Svc"),"Northstar IT Services",IF(OR(E152="Metro Logistics",E152="Metro Logistics Pvt Ltd"),"Metro Logistics",E152)))</f>
        <v/>
      </c>
      <c r="O152" s="7">
        <f>IF(AND(ISNUMBER(L152),L152&gt;0),"Valid","Review")</f>
        <v/>
      </c>
      <c r="P152" s="7">
        <f>IF(OR(E152="",F152="",NOT(ISNUMBER(L152))),"Check Missing/Invalid Data","OK")</f>
        <v/>
      </c>
    </row>
    <row r="153">
      <c r="A153" s="7" t="inlineStr">
        <is>
          <t>PO-00285</t>
        </is>
      </c>
      <c r="B153" s="9" t="n">
        <v>45753</v>
      </c>
      <c r="C153" s="7" t="inlineStr">
        <is>
          <t>Purchase Order</t>
        </is>
      </c>
      <c r="D153" s="7" t="inlineStr">
        <is>
          <t>SUP007</t>
        </is>
      </c>
      <c r="E153" s="7">
        <f>IF(E153="","Unknown Supplier",TRIM(E153))</f>
        <v/>
      </c>
      <c r="F153" s="7">
        <f>IF(F153="","Unclassified",TRIM(F153))</f>
        <v/>
      </c>
      <c r="G153" s="7" t="inlineStr">
        <is>
          <t>Cleaning services</t>
        </is>
      </c>
      <c r="H153" s="7" t="inlineStr">
        <is>
          <t>Corporate</t>
        </is>
      </c>
      <c r="I153" s="7" t="inlineStr">
        <is>
          <t>East</t>
        </is>
      </c>
      <c r="J153" s="7" t="n">
        <v>53</v>
      </c>
      <c r="K153" s="7" t="n">
        <v>189.41</v>
      </c>
      <c r="L153" s="7" t="n">
        <v>10038.75</v>
      </c>
      <c r="M153" s="7" t="inlineStr">
        <is>
          <t>Overdue</t>
        </is>
      </c>
      <c r="N153" s="7">
        <f>IF(OR(E153="Apex Office Supplies",E153="Apex Office Supply Ltd"),"Apex Office Supplies",IF(OR(E153="Northstar IT Services",E153="North Star IT Svc"),"Northstar IT Services",IF(OR(E153="Metro Logistics",E153="Metro Logistics Pvt Ltd"),"Metro Logistics",E153)))</f>
        <v/>
      </c>
      <c r="O153" s="7">
        <f>IF(AND(ISNUMBER(L153),L153&gt;0),"Valid","Review")</f>
        <v/>
      </c>
      <c r="P153" s="7">
        <f>IF(OR(E153="",F153="",NOT(ISNUMBER(L153))),"Check Missing/Invalid Data","OK")</f>
        <v/>
      </c>
    </row>
    <row r="154">
      <c r="A154" s="7" t="inlineStr">
        <is>
          <t>PO-00188</t>
        </is>
      </c>
      <c r="B154" s="9" t="n">
        <v>45753</v>
      </c>
      <c r="C154" s="7" t="inlineStr">
        <is>
          <t>Goods Receipt</t>
        </is>
      </c>
      <c r="D154" s="7" t="inlineStr">
        <is>
          <t>SUP008</t>
        </is>
      </c>
      <c r="E154" s="7">
        <f>IF(E154="","Unknown Supplier",TRIM(E154))</f>
        <v/>
      </c>
      <c r="F154" s="7">
        <f>IF(F154="","Unclassified",TRIM(F154))</f>
        <v/>
      </c>
      <c r="G154" s="7" t="inlineStr">
        <is>
          <t>Protective packaging</t>
        </is>
      </c>
      <c r="H154" s="7" t="inlineStr">
        <is>
          <t>Corporate</t>
        </is>
      </c>
      <c r="I154" s="7" t="inlineStr">
        <is>
          <t>West</t>
        </is>
      </c>
      <c r="J154" s="7" t="n">
        <v>103</v>
      </c>
      <c r="K154" s="7" t="n">
        <v>64.93000000000001</v>
      </c>
      <c r="L154" s="7" t="n">
        <v>6688.16</v>
      </c>
      <c r="M154" s="7" t="inlineStr">
        <is>
          <t>Paid</t>
        </is>
      </c>
      <c r="N154" s="7">
        <f>IF(OR(E154="Apex Office Supplies",E154="Apex Office Supply Ltd"),"Apex Office Supplies",IF(OR(E154="Northstar IT Services",E154="North Star IT Svc"),"Northstar IT Services",IF(OR(E154="Metro Logistics",E154="Metro Logistics Pvt Ltd"),"Metro Logistics",E154)))</f>
        <v/>
      </c>
      <c r="O154" s="7">
        <f>IF(AND(ISNUMBER(L154),L154&gt;0),"Valid","Review")</f>
        <v/>
      </c>
      <c r="P154" s="7">
        <f>IF(OR(E154="",F154="",NOT(ISNUMBER(L154))),"Check Missing/Invalid Data","OK")</f>
        <v/>
      </c>
    </row>
    <row r="155">
      <c r="A155" s="7" t="inlineStr">
        <is>
          <t>PO-00237</t>
        </is>
      </c>
      <c r="B155" s="9" t="n">
        <v>45753</v>
      </c>
      <c r="C155" s="7" t="inlineStr">
        <is>
          <t>Goods Receipt</t>
        </is>
      </c>
      <c r="D155" s="7" t="inlineStr">
        <is>
          <t>SUP001</t>
        </is>
      </c>
      <c r="E155" s="7">
        <f>IF(E155="","Unknown Supplier",TRIM(E155))</f>
        <v/>
      </c>
      <c r="F155" s="7">
        <f>IF(F155="","Unclassified",TRIM(F155))</f>
        <v/>
      </c>
      <c r="G155" s="7" t="inlineStr">
        <is>
          <t>Printer paper</t>
        </is>
      </c>
      <c r="H155" s="7" t="inlineStr">
        <is>
          <t>Operations</t>
        </is>
      </c>
      <c r="I155" s="7" t="inlineStr">
        <is>
          <t>West</t>
        </is>
      </c>
      <c r="J155" s="7" t="n">
        <v>73</v>
      </c>
      <c r="K155" s="7" t="n">
        <v>195.33</v>
      </c>
      <c r="L155" s="7" t="n">
        <v>14258.93</v>
      </c>
      <c r="M155" s="7" t="inlineStr">
        <is>
          <t>Pending</t>
        </is>
      </c>
      <c r="N155" s="7">
        <f>IF(OR(E155="Apex Office Supplies",E155="Apex Office Supply Ltd"),"Apex Office Supplies",IF(OR(E155="Northstar IT Services",E155="North Star IT Svc"),"Northstar IT Services",IF(OR(E155="Metro Logistics",E155="Metro Logistics Pvt Ltd"),"Metro Logistics",E155)))</f>
        <v/>
      </c>
      <c r="O155" s="7">
        <f>IF(AND(ISNUMBER(L155),L155&gt;0),"Valid","Review")</f>
        <v/>
      </c>
      <c r="P155" s="7">
        <f>IF(OR(E155="",F155="",NOT(ISNUMBER(L155))),"Check Missing/Invalid Data","OK")</f>
        <v/>
      </c>
    </row>
    <row r="156">
      <c r="A156" s="7" t="inlineStr">
        <is>
          <t>PO-00307</t>
        </is>
      </c>
      <c r="B156" s="9" t="n">
        <v>45753</v>
      </c>
      <c r="C156" s="7" t="inlineStr">
        <is>
          <t>Goods Receipt</t>
        </is>
      </c>
      <c r="D156" s="7" t="inlineStr">
        <is>
          <t>SUP006</t>
        </is>
      </c>
      <c r="E156" s="7">
        <f>IF(E156="","Unknown Supplier",TRIM(E156))</f>
        <v/>
      </c>
      <c r="F156" s="7">
        <f>IF(F156="","Unclassified",TRIM(F156))</f>
        <v/>
      </c>
      <c r="G156" s="7" t="inlineStr">
        <is>
          <t>Courier services</t>
        </is>
      </c>
      <c r="H156" s="7" t="inlineStr">
        <is>
          <t>Manufacturing</t>
        </is>
      </c>
      <c r="I156" s="7" t="inlineStr">
        <is>
          <t>East</t>
        </is>
      </c>
      <c r="J156" s="7" t="n">
        <v>34</v>
      </c>
      <c r="K156" s="7" t="n">
        <v>415.05</v>
      </c>
      <c r="L156" s="7" t="n">
        <v>14111.7</v>
      </c>
      <c r="M156" s="7" t="inlineStr">
        <is>
          <t>Overdue</t>
        </is>
      </c>
      <c r="N156" s="7">
        <f>IF(OR(E156="Apex Office Supplies",E156="Apex Office Supply Ltd"),"Apex Office Supplies",IF(OR(E156="Northstar IT Services",E156="North Star IT Svc"),"Northstar IT Services",IF(OR(E156="Metro Logistics",E156="Metro Logistics Pvt Ltd"),"Metro Logistics",E156)))</f>
        <v/>
      </c>
      <c r="O156" s="7">
        <f>IF(AND(ISNUMBER(L156),L156&gt;0),"Valid","Review")</f>
        <v/>
      </c>
      <c r="P156" s="7">
        <f>IF(OR(E156="",F156="",NOT(ISNUMBER(L156))),"Check Missing/Invalid Data","OK")</f>
        <v/>
      </c>
    </row>
    <row r="157">
      <c r="A157" s="7" t="inlineStr">
        <is>
          <t>PO-00312</t>
        </is>
      </c>
      <c r="B157" s="9" t="n">
        <v>45753</v>
      </c>
      <c r="C157" s="7" t="inlineStr">
        <is>
          <t>Invoice</t>
        </is>
      </c>
      <c r="D157" s="7" t="inlineStr">
        <is>
          <t>SUP006</t>
        </is>
      </c>
      <c r="E157" s="7">
        <f>IF(E157="","Unknown Supplier",TRIM(E157))</f>
        <v/>
      </c>
      <c r="F157" s="7">
        <f>IF(F157="","Unclassified",TRIM(F157))</f>
        <v/>
      </c>
      <c r="G157" s="7" t="inlineStr">
        <is>
          <t>Freight services</t>
        </is>
      </c>
      <c r="H157" s="7" t="inlineStr">
        <is>
          <t>Sales</t>
        </is>
      </c>
      <c r="I157" s="7" t="inlineStr">
        <is>
          <t>South</t>
        </is>
      </c>
      <c r="J157" s="7" t="n">
        <v>111</v>
      </c>
      <c r="K157" s="7" t="n">
        <v>171.46</v>
      </c>
      <c r="L157" s="7" t="n">
        <v>19031.59</v>
      </c>
      <c r="M157" s="7" t="inlineStr">
        <is>
          <t>Paid</t>
        </is>
      </c>
      <c r="N157" s="7">
        <f>IF(OR(E157="Apex Office Supplies",E157="Apex Office Supply Ltd"),"Apex Office Supplies",IF(OR(E157="Northstar IT Services",E157="North Star IT Svc"),"Northstar IT Services",IF(OR(E157="Metro Logistics",E157="Metro Logistics Pvt Ltd"),"Metro Logistics",E157)))</f>
        <v/>
      </c>
      <c r="O157" s="7">
        <f>IF(AND(ISNUMBER(L157),L157&gt;0),"Valid","Review")</f>
        <v/>
      </c>
      <c r="P157" s="7">
        <f>IF(OR(E157="",F157="",NOT(ISNUMBER(L157))),"Check Missing/Invalid Data","OK")</f>
        <v/>
      </c>
    </row>
    <row r="158">
      <c r="A158" s="7" t="inlineStr">
        <is>
          <t>PO-00507</t>
        </is>
      </c>
      <c r="B158" s="9" t="n">
        <v>45753</v>
      </c>
      <c r="C158" s="7" t="inlineStr">
        <is>
          <t>Goods Receipt</t>
        </is>
      </c>
      <c r="D158" s="7" t="inlineStr">
        <is>
          <t>SUP003</t>
        </is>
      </c>
      <c r="E158" s="7">
        <f>IF(E158="","Unknown Supplier",TRIM(E158))</f>
        <v/>
      </c>
      <c r="F158" s="7">
        <f>IF(F158="","Unclassified",TRIM(F158))</f>
        <v/>
      </c>
      <c r="G158" s="7" t="inlineStr">
        <is>
          <t>Software support</t>
        </is>
      </c>
      <c r="H158" s="7" t="inlineStr">
        <is>
          <t>Sales</t>
        </is>
      </c>
      <c r="I158" s="7" t="inlineStr">
        <is>
          <t>East</t>
        </is>
      </c>
      <c r="J158" s="7" t="n">
        <v>16</v>
      </c>
      <c r="K158" s="7" t="n">
        <v>1375.45</v>
      </c>
      <c r="L158" s="7" t="n">
        <v>22007.13</v>
      </c>
      <c r="M158" s="7" t="inlineStr">
        <is>
          <t>Overdue</t>
        </is>
      </c>
      <c r="N158" s="7">
        <f>IF(OR(E158="Apex Office Supplies",E158="Apex Office Supply Ltd"),"Apex Office Supplies",IF(OR(E158="Northstar IT Services",E158="North Star IT Svc"),"Northstar IT Services",IF(OR(E158="Metro Logistics",E158="Metro Logistics Pvt Ltd"),"Metro Logistics",E158)))</f>
        <v/>
      </c>
      <c r="O158" s="7">
        <f>IF(AND(ISNUMBER(L158),L158&gt;0),"Valid","Review")</f>
        <v/>
      </c>
      <c r="P158" s="7">
        <f>IF(OR(E158="",F158="",NOT(ISNUMBER(L158))),"Check Missing/Invalid Data","OK")</f>
        <v/>
      </c>
    </row>
    <row r="159">
      <c r="A159" s="7" t="inlineStr">
        <is>
          <t>PO-00518</t>
        </is>
      </c>
      <c r="B159" s="9" t="n">
        <v>45754</v>
      </c>
      <c r="C159" s="7" t="inlineStr">
        <is>
          <t>Goods Receipt</t>
        </is>
      </c>
      <c r="D159" s="7" t="inlineStr">
        <is>
          <t>SUP001</t>
        </is>
      </c>
      <c r="E159" s="7">
        <f>IF(E159="","Unknown Supplier",TRIM(E159))</f>
        <v/>
      </c>
      <c r="F159" s="7">
        <f>IF(F159="","Unclassified",TRIM(F159))</f>
        <v/>
      </c>
      <c r="G159" s="7" t="inlineStr">
        <is>
          <t>Printer paper</t>
        </is>
      </c>
      <c r="H159" s="7" t="inlineStr">
        <is>
          <t>Manufacturing</t>
        </is>
      </c>
      <c r="I159" s="7" t="inlineStr">
        <is>
          <t>North</t>
        </is>
      </c>
      <c r="J159" s="7" t="n">
        <v>74</v>
      </c>
      <c r="K159" s="7" t="n">
        <v>192.36</v>
      </c>
      <c r="L159" s="7" t="n">
        <v>14234.87</v>
      </c>
      <c r="M159" s="7" t="inlineStr">
        <is>
          <t>Pending</t>
        </is>
      </c>
      <c r="N159" s="7">
        <f>IF(OR(E159="Apex Office Supplies",E159="Apex Office Supply Ltd"),"Apex Office Supplies",IF(OR(E159="Northstar IT Services",E159="North Star IT Svc"),"Northstar IT Services",IF(OR(E159="Metro Logistics",E159="Metro Logistics Pvt Ltd"),"Metro Logistics",E159)))</f>
        <v/>
      </c>
      <c r="O159" s="7">
        <f>IF(AND(ISNUMBER(L159),L159&gt;0),"Valid","Review")</f>
        <v/>
      </c>
      <c r="P159" s="7">
        <f>IF(OR(E159="",F159="",NOT(ISNUMBER(L159))),"Check Missing/Invalid Data","OK")</f>
        <v/>
      </c>
    </row>
    <row r="160">
      <c r="A160" s="7" t="inlineStr">
        <is>
          <t>PO-00076</t>
        </is>
      </c>
      <c r="B160" s="9" t="n">
        <v>45755</v>
      </c>
      <c r="C160" s="7" t="inlineStr">
        <is>
          <t>Purchase Order</t>
        </is>
      </c>
      <c r="D160" s="7" t="inlineStr">
        <is>
          <t>SUP002</t>
        </is>
      </c>
      <c r="E160" s="7">
        <f>IF(E160="","Unknown Supplier",TRIM(E160))</f>
        <v/>
      </c>
      <c r="F160" s="7">
        <f>IF(F160="","Unclassified",TRIM(F160))</f>
        <v/>
      </c>
      <c r="G160" s="7" t="inlineStr">
        <is>
          <t>Toner cartridges</t>
        </is>
      </c>
      <c r="H160" s="7" t="inlineStr">
        <is>
          <t>Sales</t>
        </is>
      </c>
      <c r="I160" s="7" t="inlineStr">
        <is>
          <t>West</t>
        </is>
      </c>
      <c r="J160" s="7" t="n">
        <v>72</v>
      </c>
      <c r="K160" s="7" t="n">
        <v>102.6</v>
      </c>
      <c r="L160" s="7" t="n">
        <v>7386.93</v>
      </c>
      <c r="M160" s="7" t="inlineStr">
        <is>
          <t>Pending</t>
        </is>
      </c>
      <c r="N160" s="7">
        <f>IF(OR(E160="Apex Office Supplies",E160="Apex Office Supply Ltd"),"Apex Office Supplies",IF(OR(E160="Northstar IT Services",E160="North Star IT Svc"),"Northstar IT Services",IF(OR(E160="Metro Logistics",E160="Metro Logistics Pvt Ltd"),"Metro Logistics",E160)))</f>
        <v/>
      </c>
      <c r="O160" s="7">
        <f>IF(AND(ISNUMBER(L160),L160&gt;0),"Valid","Review")</f>
        <v/>
      </c>
      <c r="P160" s="7">
        <f>IF(OR(E160="",F160="",NOT(ISNUMBER(L160))),"Check Missing/Invalid Data","OK")</f>
        <v/>
      </c>
    </row>
    <row r="161">
      <c r="A161" s="7" t="inlineStr">
        <is>
          <t>PO-00047</t>
        </is>
      </c>
      <c r="B161" s="9" t="n">
        <v>45755</v>
      </c>
      <c r="C161" s="7" t="inlineStr">
        <is>
          <t>Goods Receipt</t>
        </is>
      </c>
      <c r="D161" s="7" t="inlineStr">
        <is>
          <t>SUP005</t>
        </is>
      </c>
      <c r="E161" s="7">
        <f>IF(E161="","Unknown Supplier",TRIM(E161))</f>
        <v/>
      </c>
      <c r="F161" s="7">
        <f>IF(F161="","Unclassified",TRIM(F161))</f>
        <v/>
      </c>
      <c r="G161" s="7" t="inlineStr">
        <is>
          <t>Natural gas</t>
        </is>
      </c>
      <c r="H161" s="7" t="inlineStr">
        <is>
          <t>Operations</t>
        </is>
      </c>
      <c r="I161" s="7" t="inlineStr">
        <is>
          <t>East</t>
        </is>
      </c>
      <c r="J161" s="7" t="n">
        <v>119</v>
      </c>
      <c r="K161" s="7" t="n">
        <v>1.26</v>
      </c>
      <c r="L161" s="7" t="n">
        <v>150.24</v>
      </c>
      <c r="M161" s="7" t="inlineStr">
        <is>
          <t>Pending</t>
        </is>
      </c>
      <c r="N161" s="7">
        <f>IF(OR(E161="Apex Office Supplies",E161="Apex Office Supply Ltd"),"Apex Office Supplies",IF(OR(E161="Northstar IT Services",E161="North Star IT Svc"),"Northstar IT Services",IF(OR(E161="Metro Logistics",E161="Metro Logistics Pvt Ltd"),"Metro Logistics",E161)))</f>
        <v/>
      </c>
      <c r="O161" s="7">
        <f>IF(AND(ISNUMBER(L161),L161&gt;0),"Valid","Review")</f>
        <v/>
      </c>
      <c r="P161" s="7">
        <f>IF(OR(E161="",F161="",NOT(ISNUMBER(L161))),"Check Missing/Invalid Data","OK")</f>
        <v/>
      </c>
    </row>
    <row r="162">
      <c r="A162" s="7" t="inlineStr">
        <is>
          <t>PO-00029</t>
        </is>
      </c>
      <c r="B162" s="9" t="n">
        <v>45755</v>
      </c>
      <c r="C162" s="7" t="inlineStr">
        <is>
          <t>Goods Receipt</t>
        </is>
      </c>
      <c r="D162" s="7" t="inlineStr">
        <is>
          <t>SUP005</t>
        </is>
      </c>
      <c r="E162" s="7">
        <f>IF(E162="","Unknown Supplier",TRIM(E162))</f>
        <v/>
      </c>
      <c r="F162" s="7">
        <f>IF(F162="","Unclassified",TRIM(F162))</f>
        <v/>
      </c>
      <c r="G162" s="7" t="inlineStr">
        <is>
          <t>Freight services</t>
        </is>
      </c>
      <c r="H162" s="7" t="inlineStr">
        <is>
          <t>Technology</t>
        </is>
      </c>
      <c r="I162" s="7" t="inlineStr">
        <is>
          <t>North</t>
        </is>
      </c>
      <c r="J162" s="7" t="n">
        <v>95</v>
      </c>
      <c r="K162" s="7" t="n">
        <v>20.86</v>
      </c>
      <c r="L162" s="7" t="n">
        <v>1981.66</v>
      </c>
      <c r="M162" s="7" t="inlineStr">
        <is>
          <t>Paid</t>
        </is>
      </c>
      <c r="N162" s="7">
        <f>IF(OR(E162="Apex Office Supplies",E162="Apex Office Supply Ltd"),"Apex Office Supplies",IF(OR(E162="Northstar IT Services",E162="North Star IT Svc"),"Northstar IT Services",IF(OR(E162="Metro Logistics",E162="Metro Logistics Pvt Ltd"),"Metro Logistics",E162)))</f>
        <v/>
      </c>
      <c r="O162" s="7">
        <f>IF(AND(ISNUMBER(L162),L162&gt;0),"Valid","Review")</f>
        <v/>
      </c>
      <c r="P162" s="7">
        <f>IF(OR(E162="",F162="",NOT(ISNUMBER(L162))),"Check Missing/Invalid Data","OK")</f>
        <v/>
      </c>
    </row>
    <row r="163">
      <c r="A163" s="7" t="inlineStr">
        <is>
          <t>PO-00102</t>
        </is>
      </c>
      <c r="B163" s="9" t="n">
        <v>45755</v>
      </c>
      <c r="C163" s="7" t="inlineStr">
        <is>
          <t>Purchase Order</t>
        </is>
      </c>
      <c r="D163" s="7" t="inlineStr">
        <is>
          <t>SUP010</t>
        </is>
      </c>
      <c r="E163" s="7">
        <f>IF(E163="","Unknown Supplier",TRIM(E163))</f>
        <v/>
      </c>
      <c r="F163" s="7">
        <f>IF(F163="","Unclassified",TRIM(F163))</f>
        <v/>
      </c>
      <c r="G163" s="7" t="inlineStr">
        <is>
          <t>Water services</t>
        </is>
      </c>
      <c r="H163" s="7" t="inlineStr">
        <is>
          <t>Sales</t>
        </is>
      </c>
      <c r="I163" s="7" t="inlineStr">
        <is>
          <t>East</t>
        </is>
      </c>
      <c r="J163" s="7" t="n">
        <v>111</v>
      </c>
      <c r="K163" s="7" t="n">
        <v>142.72</v>
      </c>
      <c r="L163" s="7" t="n">
        <v>15842.35</v>
      </c>
      <c r="M163" s="7" t="inlineStr">
        <is>
          <t>Overdue</t>
        </is>
      </c>
      <c r="N163" s="7">
        <f>IF(OR(E163="Apex Office Supplies",E163="Apex Office Supply Ltd"),"Apex Office Supplies",IF(OR(E163="Northstar IT Services",E163="North Star IT Svc"),"Northstar IT Services",IF(OR(E163="Metro Logistics",E163="Metro Logistics Pvt Ltd"),"Metro Logistics",E163)))</f>
        <v/>
      </c>
      <c r="O163" s="7">
        <f>IF(AND(ISNUMBER(L163),L163&gt;0),"Valid","Review")</f>
        <v/>
      </c>
      <c r="P163" s="7">
        <f>IF(OR(E163="",F163="",NOT(ISNUMBER(L163))),"Check Missing/Invalid Data","OK")</f>
        <v/>
      </c>
    </row>
    <row r="164">
      <c r="A164" s="7" t="inlineStr">
        <is>
          <t>PO-00273</t>
        </is>
      </c>
      <c r="B164" s="9" t="n">
        <v>45756</v>
      </c>
      <c r="C164" s="7" t="inlineStr">
        <is>
          <t>Invoice</t>
        </is>
      </c>
      <c r="D164" s="7" t="inlineStr">
        <is>
          <t>SUP010</t>
        </is>
      </c>
      <c r="E164" s="7">
        <f>IF(E164="","Unknown Supplier",TRIM(E164))</f>
        <v/>
      </c>
      <c r="F164" s="7">
        <f>IF(F164="","Unclassified",TRIM(F164))</f>
        <v/>
      </c>
      <c r="G164" s="7" t="inlineStr">
        <is>
          <t>Electricity</t>
        </is>
      </c>
      <c r="H164" s="7" t="inlineStr">
        <is>
          <t>Technology</t>
        </is>
      </c>
      <c r="I164" s="7" t="inlineStr">
        <is>
          <t>West</t>
        </is>
      </c>
      <c r="J164" s="7" t="n">
        <v>35</v>
      </c>
      <c r="K164" s="7" t="n">
        <v>419.89</v>
      </c>
      <c r="L164" s="7" t="n">
        <v>14696.03</v>
      </c>
      <c r="M164" s="7" t="inlineStr">
        <is>
          <t>Pending</t>
        </is>
      </c>
      <c r="N164" s="7">
        <f>IF(OR(E164="Apex Office Supplies",E164="Apex Office Supply Ltd"),"Apex Office Supplies",IF(OR(E164="Northstar IT Services",E164="North Star IT Svc"),"Northstar IT Services",IF(OR(E164="Metro Logistics",E164="Metro Logistics Pvt Ltd"),"Metro Logistics",E164)))</f>
        <v/>
      </c>
      <c r="O164" s="7">
        <f>IF(AND(ISNUMBER(L164),L164&gt;0),"Valid","Review")</f>
        <v/>
      </c>
      <c r="P164" s="7">
        <f>IF(OR(E164="",F164="",NOT(ISNUMBER(L164))),"Check Missing/Invalid Data","OK")</f>
        <v/>
      </c>
    </row>
    <row r="165">
      <c r="A165" s="7" t="inlineStr">
        <is>
          <t>PO-00577</t>
        </is>
      </c>
      <c r="B165" s="9" t="n">
        <v>45756</v>
      </c>
      <c r="C165" s="7" t="inlineStr">
        <is>
          <t>Invoice</t>
        </is>
      </c>
      <c r="D165" s="7" t="inlineStr">
        <is>
          <t>SUP001</t>
        </is>
      </c>
      <c r="E165" s="7">
        <f>IF(E165="","Unknown Supplier",TRIM(E165))</f>
        <v/>
      </c>
      <c r="F165" s="7">
        <f>IF(F165="","Unclassified",TRIM(F165))</f>
        <v/>
      </c>
      <c r="G165" s="7" t="inlineStr">
        <is>
          <t>Printer paper</t>
        </is>
      </c>
      <c r="H165" s="7" t="inlineStr">
        <is>
          <t>Sales</t>
        </is>
      </c>
      <c r="I165" s="7" t="inlineStr">
        <is>
          <t>West</t>
        </is>
      </c>
      <c r="J165" s="7" t="n">
        <v>18</v>
      </c>
      <c r="K165" s="7" t="n">
        <v>362.45</v>
      </c>
      <c r="L165" s="7" t="n">
        <v>6524.03</v>
      </c>
      <c r="M165" s="7" t="inlineStr">
        <is>
          <t>Overdue</t>
        </is>
      </c>
      <c r="N165" s="7">
        <f>IF(OR(E165="Apex Office Supplies",E165="Apex Office Supply Ltd"),"Apex Office Supplies",IF(OR(E165="Northstar IT Services",E165="North Star IT Svc"),"Northstar IT Services",IF(OR(E165="Metro Logistics",E165="Metro Logistics Pvt Ltd"),"Metro Logistics",E165)))</f>
        <v/>
      </c>
      <c r="O165" s="7">
        <f>IF(AND(ISNUMBER(L165),L165&gt;0),"Valid","Review")</f>
        <v/>
      </c>
      <c r="P165" s="7">
        <f>IF(OR(E165="",F165="",NOT(ISNUMBER(L165))),"Check Missing/Invalid Data","OK")</f>
        <v/>
      </c>
    </row>
    <row r="166">
      <c r="A166" s="7" t="inlineStr">
        <is>
          <t>PO-00471</t>
        </is>
      </c>
      <c r="B166" s="9" t="n">
        <v>45757</v>
      </c>
      <c r="C166" s="7" t="inlineStr">
        <is>
          <t>Purchase Order</t>
        </is>
      </c>
      <c r="D166" s="7" t="inlineStr">
        <is>
          <t>SUP005</t>
        </is>
      </c>
      <c r="E166" s="7">
        <f>IF(E166="","Unknown Supplier",TRIM(E166))</f>
        <v/>
      </c>
      <c r="F166" s="7">
        <f>IF(F166="","Unclassified",TRIM(F166))</f>
        <v/>
      </c>
      <c r="G166" s="7" t="inlineStr">
        <is>
          <t>Freight services</t>
        </is>
      </c>
      <c r="H166" s="7" t="inlineStr">
        <is>
          <t>Manufacturing</t>
        </is>
      </c>
      <c r="I166" s="7" t="inlineStr">
        <is>
          <t>North</t>
        </is>
      </c>
      <c r="J166" s="7" t="n">
        <v>10</v>
      </c>
      <c r="K166" s="7" t="n">
        <v>3009.7</v>
      </c>
      <c r="L166" s="7" t="n">
        <v>30097.05</v>
      </c>
      <c r="M166" s="7" t="inlineStr">
        <is>
          <t>Pending</t>
        </is>
      </c>
      <c r="N166" s="7">
        <f>IF(OR(E166="Apex Office Supplies",E166="Apex Office Supply Ltd"),"Apex Office Supplies",IF(OR(E166="Northstar IT Services",E166="North Star IT Svc"),"Northstar IT Services",IF(OR(E166="Metro Logistics",E166="Metro Logistics Pvt Ltd"),"Metro Logistics",E166)))</f>
        <v/>
      </c>
      <c r="O166" s="7">
        <f>IF(AND(ISNUMBER(L166),L166&gt;0),"Valid","Review")</f>
        <v/>
      </c>
      <c r="P166" s="7">
        <f>IF(OR(E166="",F166="",NOT(ISNUMBER(L166))),"Check Missing/Invalid Data","OK")</f>
        <v/>
      </c>
    </row>
    <row r="167">
      <c r="A167" s="7" t="inlineStr">
        <is>
          <t>PO-00545</t>
        </is>
      </c>
      <c r="B167" s="9" t="n">
        <v>45758</v>
      </c>
      <c r="C167" s="7" t="inlineStr">
        <is>
          <t>Purchase Order</t>
        </is>
      </c>
      <c r="D167" s="7" t="inlineStr">
        <is>
          <t>SUP003</t>
        </is>
      </c>
      <c r="E167" s="7">
        <f>IF(E167="","Unknown Supplier",TRIM(E167))</f>
        <v/>
      </c>
      <c r="F167" s="7">
        <f>IF(F167="","Unclassified",TRIM(F167))</f>
        <v/>
      </c>
      <c r="G167" s="7" t="inlineStr">
        <is>
          <t>Software support</t>
        </is>
      </c>
      <c r="H167" s="7" t="inlineStr">
        <is>
          <t>Sales</t>
        </is>
      </c>
      <c r="I167" s="7" t="inlineStr">
        <is>
          <t>West</t>
        </is>
      </c>
      <c r="J167" s="7" t="n">
        <v>61</v>
      </c>
      <c r="K167" s="7" t="n">
        <v>371.36</v>
      </c>
      <c r="L167" s="7" t="n">
        <v>22652.72</v>
      </c>
      <c r="M167" s="7" t="inlineStr">
        <is>
          <t>Paid</t>
        </is>
      </c>
      <c r="N167" s="7">
        <f>IF(OR(E167="Apex Office Supplies",E167="Apex Office Supply Ltd"),"Apex Office Supplies",IF(OR(E167="Northstar IT Services",E167="North Star IT Svc"),"Northstar IT Services",IF(OR(E167="Metro Logistics",E167="Metro Logistics Pvt Ltd"),"Metro Logistics",E167)))</f>
        <v/>
      </c>
      <c r="O167" s="7">
        <f>IF(AND(ISNUMBER(L167),L167&gt;0),"Valid","Review")</f>
        <v/>
      </c>
      <c r="P167" s="7">
        <f>IF(OR(E167="",F167="",NOT(ISNUMBER(L167))),"Check Missing/Invalid Data","OK")</f>
        <v/>
      </c>
    </row>
    <row r="168">
      <c r="A168" s="7" t="inlineStr">
        <is>
          <t>PO-00536</t>
        </is>
      </c>
      <c r="B168" s="9" t="n">
        <v>45760</v>
      </c>
      <c r="C168" s="7" t="inlineStr">
        <is>
          <t>Purchase Order</t>
        </is>
      </c>
      <c r="D168" s="7" t="inlineStr">
        <is>
          <t>SUP004</t>
        </is>
      </c>
      <c r="E168" s="7">
        <f>IF(E168="","Unknown Supplier",TRIM(E168))</f>
        <v/>
      </c>
      <c r="F168" s="7">
        <f>IF(F168="","Unclassified",TRIM(F168))</f>
        <v/>
      </c>
      <c r="G168" s="7" t="inlineStr">
        <is>
          <t>Software support</t>
        </is>
      </c>
      <c r="H168" s="7" t="inlineStr">
        <is>
          <t>Operations</t>
        </is>
      </c>
      <c r="I168" s="7" t="inlineStr">
        <is>
          <t>East</t>
        </is>
      </c>
      <c r="J168" s="7" t="n">
        <v>27</v>
      </c>
      <c r="K168" s="7" t="n">
        <v>990.0700000000001</v>
      </c>
      <c r="L168" s="7" t="n">
        <v>26731.88</v>
      </c>
      <c r="M168" s="7" t="inlineStr">
        <is>
          <t>Paid</t>
        </is>
      </c>
      <c r="N168" s="7">
        <f>IF(OR(E168="Apex Office Supplies",E168="Apex Office Supply Ltd"),"Apex Office Supplies",IF(OR(E168="Northstar IT Services",E168="North Star IT Svc"),"Northstar IT Services",IF(OR(E168="Metro Logistics",E168="Metro Logistics Pvt Ltd"),"Metro Logistics",E168)))</f>
        <v/>
      </c>
      <c r="O168" s="7">
        <f>IF(AND(ISNUMBER(L168),L168&gt;0),"Valid","Review")</f>
        <v/>
      </c>
      <c r="P168" s="7">
        <f>IF(OR(E168="",F168="",NOT(ISNUMBER(L168))),"Check Missing/Invalid Data","OK")</f>
        <v/>
      </c>
    </row>
    <row r="169">
      <c r="A169" s="7" t="inlineStr">
        <is>
          <t>PO-00370</t>
        </is>
      </c>
      <c r="B169" s="9" t="n">
        <v>45760</v>
      </c>
      <c r="C169" s="7" t="inlineStr">
        <is>
          <t>Goods Receipt</t>
        </is>
      </c>
      <c r="D169" s="7" t="inlineStr">
        <is>
          <t>SUP011</t>
        </is>
      </c>
      <c r="E169" s="7">
        <f>IF(E169="","Unknown Supplier",TRIM(E169))</f>
        <v/>
      </c>
      <c r="F169" s="7">
        <f>IF(F169="","Unclassified",TRIM(F169))</f>
        <v/>
      </c>
      <c r="G169" s="7" t="inlineStr">
        <is>
          <t>Digital campaign</t>
        </is>
      </c>
      <c r="H169" s="7" t="inlineStr">
        <is>
          <t>Sales</t>
        </is>
      </c>
      <c r="I169" s="7" t="inlineStr">
        <is>
          <t>East</t>
        </is>
      </c>
      <c r="J169" s="7" t="n">
        <v>81</v>
      </c>
      <c r="K169" s="7" t="n">
        <v>117.55</v>
      </c>
      <c r="L169" s="7" t="n">
        <v>9521.559999999999</v>
      </c>
      <c r="M169" s="7" t="inlineStr">
        <is>
          <t>Pending</t>
        </is>
      </c>
      <c r="N169" s="7">
        <f>IF(OR(E169="Apex Office Supplies",E169="Apex Office Supply Ltd"),"Apex Office Supplies",IF(OR(E169="Northstar IT Services",E169="North Star IT Svc"),"Northstar IT Services",IF(OR(E169="Metro Logistics",E169="Metro Logistics Pvt Ltd"),"Metro Logistics",E169)))</f>
        <v/>
      </c>
      <c r="O169" s="7">
        <f>IF(AND(ISNUMBER(L169),L169&gt;0),"Valid","Review")</f>
        <v/>
      </c>
      <c r="P169" s="7">
        <f>IF(OR(E169="",F169="",NOT(ISNUMBER(L169))),"Check Missing/Invalid Data","OK")</f>
        <v/>
      </c>
    </row>
    <row r="170">
      <c r="A170" s="7" t="inlineStr">
        <is>
          <t>PO-00067</t>
        </is>
      </c>
      <c r="B170" s="9" t="n">
        <v>45760</v>
      </c>
      <c r="C170" s="7" t="inlineStr">
        <is>
          <t>Goods Receipt</t>
        </is>
      </c>
      <c r="D170" s="7" t="inlineStr">
        <is>
          <t>SUP001</t>
        </is>
      </c>
      <c r="E170" s="7">
        <f>IF(E170="","Unknown Supplier",TRIM(E170))</f>
        <v/>
      </c>
      <c r="F170" s="7">
        <f>IF(F170="","Unclassified",TRIM(F170))</f>
        <v/>
      </c>
      <c r="G170" s="7" t="inlineStr">
        <is>
          <t>Printer paper</t>
        </is>
      </c>
      <c r="H170" s="7" t="inlineStr">
        <is>
          <t>Manufacturing</t>
        </is>
      </c>
      <c r="I170" s="7" t="inlineStr">
        <is>
          <t>South</t>
        </is>
      </c>
      <c r="J170" s="7" t="n">
        <v>61</v>
      </c>
      <c r="K170" s="7" t="n">
        <v>71.89</v>
      </c>
      <c r="L170" s="7" t="n">
        <v>4385.18</v>
      </c>
      <c r="M170" s="7" t="inlineStr">
        <is>
          <t>Pending</t>
        </is>
      </c>
      <c r="N170" s="7">
        <f>IF(OR(E170="Apex Office Supplies",E170="Apex Office Supply Ltd"),"Apex Office Supplies",IF(OR(E170="Northstar IT Services",E170="North Star IT Svc"),"Northstar IT Services",IF(OR(E170="Metro Logistics",E170="Metro Logistics Pvt Ltd"),"Metro Logistics",E170)))</f>
        <v/>
      </c>
      <c r="O170" s="7">
        <f>IF(AND(ISNUMBER(L170),L170&gt;0),"Valid","Review")</f>
        <v/>
      </c>
      <c r="P170" s="7">
        <f>IF(OR(E170="",F170="",NOT(ISNUMBER(L170))),"Check Missing/Invalid Data","OK")</f>
        <v/>
      </c>
    </row>
    <row r="171">
      <c r="A171" s="7" t="inlineStr">
        <is>
          <t>PO-00151</t>
        </is>
      </c>
      <c r="B171" s="9" t="n">
        <v>45762</v>
      </c>
      <c r="C171" s="7" t="inlineStr">
        <is>
          <t>Invoice</t>
        </is>
      </c>
      <c r="D171" s="7" t="inlineStr">
        <is>
          <t>SUP005</t>
        </is>
      </c>
      <c r="E171" s="7">
        <f>IF(E171="","Unknown Supplier",TRIM(E171))</f>
        <v/>
      </c>
      <c r="F171" s="7">
        <f>IF(F171="","Unclassified",TRIM(F171))</f>
        <v/>
      </c>
      <c r="G171" s="7" t="inlineStr">
        <is>
          <t>Courier services</t>
        </is>
      </c>
      <c r="H171" s="7" t="inlineStr">
        <is>
          <t>Technology</t>
        </is>
      </c>
      <c r="I171" s="7" t="inlineStr">
        <is>
          <t>North</t>
        </is>
      </c>
      <c r="J171" s="7" t="n">
        <v>98</v>
      </c>
      <c r="K171" s="7" t="n">
        <v>240.09</v>
      </c>
      <c r="L171" s="7" t="n">
        <v>23528.36</v>
      </c>
      <c r="M171" s="7" t="inlineStr">
        <is>
          <t>Paid</t>
        </is>
      </c>
      <c r="N171" s="7">
        <f>IF(OR(E171="Apex Office Supplies",E171="Apex Office Supply Ltd"),"Apex Office Supplies",IF(OR(E171="Northstar IT Services",E171="North Star IT Svc"),"Northstar IT Services",IF(OR(E171="Metro Logistics",E171="Metro Logistics Pvt Ltd"),"Metro Logistics",E171)))</f>
        <v/>
      </c>
      <c r="O171" s="7">
        <f>IF(AND(ISNUMBER(L171),L171&gt;0),"Valid","Review")</f>
        <v/>
      </c>
      <c r="P171" s="7">
        <f>IF(OR(E171="",F171="",NOT(ISNUMBER(L171))),"Check Missing/Invalid Data","OK")</f>
        <v/>
      </c>
    </row>
    <row r="172">
      <c r="A172" s="7" t="inlineStr">
        <is>
          <t>PO-00265</t>
        </is>
      </c>
      <c r="B172" s="9" t="n">
        <v>45762</v>
      </c>
      <c r="C172" s="7" t="inlineStr">
        <is>
          <t>Purchase Order</t>
        </is>
      </c>
      <c r="D172" s="7" t="inlineStr">
        <is>
          <t>SUP006</t>
        </is>
      </c>
      <c r="E172" s="7">
        <f>IF(E172="","Unknown Supplier",TRIM(E172))</f>
        <v/>
      </c>
      <c r="F172" s="7">
        <f>IF(F172="","Unclassified",TRIM(F172))</f>
        <v/>
      </c>
      <c r="G172" s="7" t="inlineStr">
        <is>
          <t>Warehouse handling</t>
        </is>
      </c>
      <c r="H172" s="7" t="inlineStr">
        <is>
          <t>Operations</t>
        </is>
      </c>
      <c r="I172" s="7" t="inlineStr">
        <is>
          <t>North</t>
        </is>
      </c>
      <c r="J172" s="7" t="n">
        <v>111</v>
      </c>
      <c r="K172" s="7" t="n">
        <v>14.36</v>
      </c>
      <c r="L172" s="7" t="n">
        <v>1593.57</v>
      </c>
      <c r="M172" s="7" t="inlineStr">
        <is>
          <t>Pending</t>
        </is>
      </c>
      <c r="N172" s="7">
        <f>IF(OR(E172="Apex Office Supplies",E172="Apex Office Supply Ltd"),"Apex Office Supplies",IF(OR(E172="Northstar IT Services",E172="North Star IT Svc"),"Northstar IT Services",IF(OR(E172="Metro Logistics",E172="Metro Logistics Pvt Ltd"),"Metro Logistics",E172)))</f>
        <v/>
      </c>
      <c r="O172" s="7">
        <f>IF(AND(ISNUMBER(L172),L172&gt;0),"Valid","Review")</f>
        <v/>
      </c>
      <c r="P172" s="7">
        <f>IF(OR(E172="",F172="",NOT(ISNUMBER(L172))),"Check Missing/Invalid Data","OK")</f>
        <v/>
      </c>
    </row>
    <row r="173">
      <c r="A173" s="7" t="inlineStr">
        <is>
          <t>PO-00392</t>
        </is>
      </c>
      <c r="B173" s="9" t="n">
        <v>45763</v>
      </c>
      <c r="C173" s="7" t="inlineStr">
        <is>
          <t>Purchase Order</t>
        </is>
      </c>
      <c r="D173" s="7" t="inlineStr">
        <is>
          <t>SUP003</t>
        </is>
      </c>
      <c r="E173" s="7">
        <f>IF(E173="","Unknown Supplier",TRIM(E173))</f>
        <v/>
      </c>
      <c r="F173" s="7">
        <f>IF(F173="","Unclassified",TRIM(F173))</f>
        <v/>
      </c>
      <c r="G173" s="7" t="inlineStr">
        <is>
          <t>Cloud services</t>
        </is>
      </c>
      <c r="H173" s="7" t="inlineStr">
        <is>
          <t>Sales</t>
        </is>
      </c>
      <c r="I173" s="7" t="inlineStr">
        <is>
          <t>West</t>
        </is>
      </c>
      <c r="J173" s="7" t="n">
        <v>61</v>
      </c>
      <c r="K173" s="7" t="n">
        <v>490.21</v>
      </c>
      <c r="L173" s="7" t="n">
        <v>29902.65</v>
      </c>
      <c r="M173" s="7" t="inlineStr">
        <is>
          <t>Pending</t>
        </is>
      </c>
      <c r="N173" s="7">
        <f>IF(OR(E173="Apex Office Supplies",E173="Apex Office Supply Ltd"),"Apex Office Supplies",IF(OR(E173="Northstar IT Services",E173="North Star IT Svc"),"Northstar IT Services",IF(OR(E173="Metro Logistics",E173="Metro Logistics Pvt Ltd"),"Metro Logistics",E173)))</f>
        <v/>
      </c>
      <c r="O173" s="7">
        <f>IF(AND(ISNUMBER(L173),L173&gt;0),"Valid","Review")</f>
        <v/>
      </c>
      <c r="P173" s="7">
        <f>IF(OR(E173="",F173="",NOT(ISNUMBER(L173))),"Check Missing/Invalid Data","OK")</f>
        <v/>
      </c>
    </row>
    <row r="174">
      <c r="A174" s="7" t="inlineStr">
        <is>
          <t>PO-00262</t>
        </is>
      </c>
      <c r="B174" s="9" t="n">
        <v>45764</v>
      </c>
      <c r="C174" s="7" t="inlineStr">
        <is>
          <t>Purchase Order</t>
        </is>
      </c>
      <c r="D174" s="7" t="inlineStr">
        <is>
          <t>SUP006</t>
        </is>
      </c>
      <c r="E174" s="7">
        <f>IF(E174="","Unknown Supplier",TRIM(E174))</f>
        <v/>
      </c>
      <c r="F174" s="7">
        <f>IF(F174="","Unclassified",TRIM(F174))</f>
        <v/>
      </c>
      <c r="G174" s="7" t="inlineStr">
        <is>
          <t>Warehouse handling</t>
        </is>
      </c>
      <c r="H174" s="7" t="inlineStr">
        <is>
          <t>Corporate</t>
        </is>
      </c>
      <c r="I174" s="7" t="inlineStr">
        <is>
          <t>West</t>
        </is>
      </c>
      <c r="J174" s="7" t="n">
        <v>28</v>
      </c>
      <c r="K174" s="7" t="n">
        <v>994.0599999999999</v>
      </c>
      <c r="L174" s="7" t="n">
        <v>27833.79</v>
      </c>
      <c r="M174" s="7" t="inlineStr">
        <is>
          <t>Paid</t>
        </is>
      </c>
      <c r="N174" s="7">
        <f>IF(OR(E174="Apex Office Supplies",E174="Apex Office Supply Ltd"),"Apex Office Supplies",IF(OR(E174="Northstar IT Services",E174="North Star IT Svc"),"Northstar IT Services",IF(OR(E174="Metro Logistics",E174="Metro Logistics Pvt Ltd"),"Metro Logistics",E174)))</f>
        <v/>
      </c>
      <c r="O174" s="7">
        <f>IF(AND(ISNUMBER(L174),L174&gt;0),"Valid","Review")</f>
        <v/>
      </c>
      <c r="P174" s="7">
        <f>IF(OR(E174="",F174="",NOT(ISNUMBER(L174))),"Check Missing/Invalid Data","OK")</f>
        <v/>
      </c>
    </row>
    <row r="175">
      <c r="A175" s="7" t="inlineStr">
        <is>
          <t>PO-00294</t>
        </is>
      </c>
      <c r="B175" s="9" t="n">
        <v>45765</v>
      </c>
      <c r="C175" s="7" t="inlineStr">
        <is>
          <t>Invoice</t>
        </is>
      </c>
      <c r="D175" s="7" t="inlineStr">
        <is>
          <t>SUP008</t>
        </is>
      </c>
      <c r="E175" s="7">
        <f>IF(E175="","Unknown Supplier",TRIM(E175))</f>
        <v/>
      </c>
      <c r="F175" s="7">
        <f>IF(F175="","Unclassified",TRIM(F175))</f>
        <v/>
      </c>
      <c r="G175" s="7" t="inlineStr">
        <is>
          <t>Labels</t>
        </is>
      </c>
      <c r="H175" s="7" t="inlineStr">
        <is>
          <t>Sales</t>
        </is>
      </c>
      <c r="I175" s="7" t="inlineStr">
        <is>
          <t>South</t>
        </is>
      </c>
      <c r="J175" s="7" t="n">
        <v>9</v>
      </c>
      <c r="K175" s="7" t="n">
        <v>1664.81</v>
      </c>
      <c r="L175" s="7" t="n">
        <v>14983.32</v>
      </c>
      <c r="M175" s="7" t="inlineStr">
        <is>
          <t>Overdue</t>
        </is>
      </c>
      <c r="N175" s="7">
        <f>IF(OR(E175="Apex Office Supplies",E175="Apex Office Supply Ltd"),"Apex Office Supplies",IF(OR(E175="Northstar IT Services",E175="North Star IT Svc"),"Northstar IT Services",IF(OR(E175="Metro Logistics",E175="Metro Logistics Pvt Ltd"),"Metro Logistics",E175)))</f>
        <v/>
      </c>
      <c r="O175" s="7">
        <f>IF(AND(ISNUMBER(L175),L175&gt;0),"Valid","Review")</f>
        <v/>
      </c>
      <c r="P175" s="7">
        <f>IF(OR(E175="",F175="",NOT(ISNUMBER(L175))),"Check Missing/Invalid Data","OK")</f>
        <v/>
      </c>
    </row>
    <row r="176">
      <c r="A176" s="7" t="inlineStr">
        <is>
          <t>PO-00543</t>
        </is>
      </c>
      <c r="B176" s="9" t="n">
        <v>45765</v>
      </c>
      <c r="C176" s="7" t="inlineStr">
        <is>
          <t>Invoice</t>
        </is>
      </c>
      <c r="D176" s="7" t="inlineStr">
        <is>
          <t>SUP007</t>
        </is>
      </c>
      <c r="E176" s="7">
        <f>IF(E176="","Unknown Supplier",TRIM(E176))</f>
        <v/>
      </c>
      <c r="F176" s="7">
        <f>IF(F176="","Unclassified",TRIM(F176))</f>
        <v/>
      </c>
      <c r="G176" s="7" t="inlineStr">
        <is>
          <t>Facility maintenance</t>
        </is>
      </c>
      <c r="H176" s="7" t="inlineStr">
        <is>
          <t>Sales</t>
        </is>
      </c>
      <c r="I176" s="7" t="inlineStr">
        <is>
          <t>South</t>
        </is>
      </c>
      <c r="J176" s="7" t="n">
        <v>110</v>
      </c>
      <c r="K176" s="7" t="n">
        <v>61.61</v>
      </c>
      <c r="L176" s="7" t="n">
        <v>6776.9</v>
      </c>
      <c r="M176" s="7" t="inlineStr">
        <is>
          <t>Overdue</t>
        </is>
      </c>
      <c r="N176" s="7">
        <f>IF(OR(E176="Apex Office Supplies",E176="Apex Office Supply Ltd"),"Apex Office Supplies",IF(OR(E176="Northstar IT Services",E176="North Star IT Svc"),"Northstar IT Services",IF(OR(E176="Metro Logistics",E176="Metro Logistics Pvt Ltd"),"Metro Logistics",E176)))</f>
        <v/>
      </c>
      <c r="O176" s="7">
        <f>IF(AND(ISNUMBER(L176),L176&gt;0),"Valid","Review")</f>
        <v/>
      </c>
      <c r="P176" s="7">
        <f>IF(OR(E176="",F176="",NOT(ISNUMBER(L176))),"Check Missing/Invalid Data","OK")</f>
        <v/>
      </c>
    </row>
    <row r="177">
      <c r="A177" s="7" t="inlineStr">
        <is>
          <t>PO-00037</t>
        </is>
      </c>
      <c r="B177" s="9" t="n">
        <v>45765</v>
      </c>
      <c r="C177" s="7" t="inlineStr">
        <is>
          <t>Invoice</t>
        </is>
      </c>
      <c r="D177" s="7" t="inlineStr">
        <is>
          <t>SUP012</t>
        </is>
      </c>
      <c r="E177" s="7">
        <f>IF(E177="","Unknown Supplier",TRIM(E177))</f>
        <v/>
      </c>
      <c r="F177" s="7">
        <f>IF(F177="","Unclassified",TRIM(F177))</f>
        <v/>
      </c>
      <c r="G177" s="7" t="inlineStr">
        <is>
          <t>Tools and supplies</t>
        </is>
      </c>
      <c r="H177" s="7" t="inlineStr">
        <is>
          <t>Sales</t>
        </is>
      </c>
      <c r="I177" s="7" t="inlineStr">
        <is>
          <t>East</t>
        </is>
      </c>
      <c r="J177" s="7" t="n">
        <v>110</v>
      </c>
      <c r="K177" s="7" t="n">
        <v>112.84</v>
      </c>
      <c r="L177" s="7" t="n">
        <v>12412.45</v>
      </c>
      <c r="M177" s="7" t="inlineStr">
        <is>
          <t>Paid</t>
        </is>
      </c>
      <c r="N177" s="7">
        <f>IF(OR(E177="Apex Office Supplies",E177="Apex Office Supply Ltd"),"Apex Office Supplies",IF(OR(E177="Northstar IT Services",E177="North Star IT Svc"),"Northstar IT Services",IF(OR(E177="Metro Logistics",E177="Metro Logistics Pvt Ltd"),"Metro Logistics",E177)))</f>
        <v/>
      </c>
      <c r="O177" s="7">
        <f>IF(AND(ISNUMBER(L177),L177&gt;0),"Valid","Review")</f>
        <v/>
      </c>
      <c r="P177" s="7">
        <f>IF(OR(E177="",F177="",NOT(ISNUMBER(L177))),"Check Missing/Invalid Data","OK")</f>
        <v/>
      </c>
    </row>
    <row r="178">
      <c r="A178" s="7" t="inlineStr">
        <is>
          <t>PO-00498</t>
        </is>
      </c>
      <c r="B178" s="9" t="n">
        <v>45766</v>
      </c>
      <c r="C178" s="7" t="inlineStr">
        <is>
          <t>Invoice</t>
        </is>
      </c>
      <c r="D178" s="7" t="inlineStr">
        <is>
          <t>SUP001</t>
        </is>
      </c>
      <c r="E178" s="7">
        <f>IF(E178="","Unknown Supplier",TRIM(E178))</f>
        <v/>
      </c>
      <c r="F178" s="7">
        <f>IF(F178="","Unclassified",TRIM(F178))</f>
        <v/>
      </c>
      <c r="G178" s="7" t="inlineStr">
        <is>
          <t>Toner cartridges</t>
        </is>
      </c>
      <c r="H178" s="7" t="inlineStr">
        <is>
          <t>Operations</t>
        </is>
      </c>
      <c r="I178" s="7" t="inlineStr">
        <is>
          <t>East</t>
        </is>
      </c>
      <c r="J178" s="7" t="n">
        <v>70</v>
      </c>
      <c r="K178" s="7" t="n">
        <v>140.53</v>
      </c>
      <c r="L178" s="7" t="n">
        <v>9837.23</v>
      </c>
      <c r="M178" s="7" t="inlineStr">
        <is>
          <t>Pending</t>
        </is>
      </c>
      <c r="N178" s="7">
        <f>IF(OR(E178="Apex Office Supplies",E178="Apex Office Supply Ltd"),"Apex Office Supplies",IF(OR(E178="Northstar IT Services",E178="North Star IT Svc"),"Northstar IT Services",IF(OR(E178="Metro Logistics",E178="Metro Logistics Pvt Ltd"),"Metro Logistics",E178)))</f>
        <v/>
      </c>
      <c r="O178" s="7">
        <f>IF(AND(ISNUMBER(L178),L178&gt;0),"Valid","Review")</f>
        <v/>
      </c>
      <c r="P178" s="7">
        <f>IF(OR(E178="",F178="",NOT(ISNUMBER(L178))),"Check Missing/Invalid Data","OK")</f>
        <v/>
      </c>
    </row>
    <row r="179">
      <c r="A179" s="7" t="inlineStr">
        <is>
          <t>PO-00412</t>
        </is>
      </c>
      <c r="B179" s="9" t="n">
        <v>45767</v>
      </c>
      <c r="C179" s="7" t="inlineStr">
        <is>
          <t>Goods Receipt</t>
        </is>
      </c>
      <c r="D179" s="7" t="inlineStr">
        <is>
          <t>SUP004</t>
        </is>
      </c>
      <c r="E179" s="7">
        <f>IF(E179="","Unknown Supplier",TRIM(E179))</f>
        <v/>
      </c>
      <c r="F179" s="7">
        <f>IF(F179="","Unclassified",TRIM(F179))</f>
        <v/>
      </c>
      <c r="G179" s="7" t="inlineStr">
        <is>
          <t>Cloud services</t>
        </is>
      </c>
      <c r="H179" s="7" t="inlineStr">
        <is>
          <t>Manufacturing</t>
        </is>
      </c>
      <c r="I179" s="7" t="inlineStr">
        <is>
          <t>North</t>
        </is>
      </c>
      <c r="J179" s="7" t="n">
        <v>35</v>
      </c>
      <c r="K179" s="7" t="n">
        <v>594.38</v>
      </c>
      <c r="L179" s="7" t="n">
        <v>20803.22</v>
      </c>
      <c r="M179" s="7" t="inlineStr">
        <is>
          <t>Overdue</t>
        </is>
      </c>
      <c r="N179" s="7">
        <f>IF(OR(E179="Apex Office Supplies",E179="Apex Office Supply Ltd"),"Apex Office Supplies",IF(OR(E179="Northstar IT Services",E179="North Star IT Svc"),"Northstar IT Services",IF(OR(E179="Metro Logistics",E179="Metro Logistics Pvt Ltd"),"Metro Logistics",E179)))</f>
        <v/>
      </c>
      <c r="O179" s="7">
        <f>IF(AND(ISNUMBER(L179),L179&gt;0),"Valid","Review")</f>
        <v/>
      </c>
      <c r="P179" s="7">
        <f>IF(OR(E179="",F179="",NOT(ISNUMBER(L179))),"Check Missing/Invalid Data","OK")</f>
        <v/>
      </c>
    </row>
    <row r="180">
      <c r="A180" s="7" t="inlineStr">
        <is>
          <t>PO-00368</t>
        </is>
      </c>
      <c r="B180" s="9" t="n">
        <v>45767</v>
      </c>
      <c r="C180" s="7" t="inlineStr">
        <is>
          <t>Purchase Order</t>
        </is>
      </c>
      <c r="D180" s="7" t="inlineStr">
        <is>
          <t>SUP003</t>
        </is>
      </c>
      <c r="E180" s="7">
        <f>IF(E180="","Unknown Supplier",TRIM(E180))</f>
        <v/>
      </c>
      <c r="F180" s="7">
        <f>IF(F180="","Unclassified",TRIM(F180))</f>
        <v/>
      </c>
      <c r="G180" s="7" t="inlineStr">
        <is>
          <t>IT consulting</t>
        </is>
      </c>
      <c r="H180" s="7" t="inlineStr">
        <is>
          <t>Manufacturing</t>
        </is>
      </c>
      <c r="I180" s="7" t="inlineStr">
        <is>
          <t>South</t>
        </is>
      </c>
      <c r="J180" s="7" t="n">
        <v>20</v>
      </c>
      <c r="K180" s="7" t="n">
        <v>688.05</v>
      </c>
      <c r="L180" s="7" t="n">
        <v>13760.96</v>
      </c>
      <c r="M180" s="7" t="inlineStr">
        <is>
          <t>Overdue</t>
        </is>
      </c>
      <c r="N180" s="7">
        <f>IF(OR(E180="Apex Office Supplies",E180="Apex Office Supply Ltd"),"Apex Office Supplies",IF(OR(E180="Northstar IT Services",E180="North Star IT Svc"),"Northstar IT Services",IF(OR(E180="Metro Logistics",E180="Metro Logistics Pvt Ltd"),"Metro Logistics",E180)))</f>
        <v/>
      </c>
      <c r="O180" s="7">
        <f>IF(AND(ISNUMBER(L180),L180&gt;0),"Valid","Review")</f>
        <v/>
      </c>
      <c r="P180" s="7">
        <f>IF(OR(E180="",F180="",NOT(ISNUMBER(L180))),"Check Missing/Invalid Data","OK")</f>
        <v/>
      </c>
    </row>
    <row r="181">
      <c r="A181" s="7" t="inlineStr">
        <is>
          <t>PO-00511</t>
        </is>
      </c>
      <c r="B181" s="9" t="n">
        <v>45768</v>
      </c>
      <c r="C181" s="7" t="inlineStr">
        <is>
          <t>Purchase Order</t>
        </is>
      </c>
      <c r="D181" s="7" t="inlineStr">
        <is>
          <t>SUP008</t>
        </is>
      </c>
      <c r="E181" s="7">
        <f>IF(E181="","Unknown Supplier",TRIM(E181))</f>
        <v/>
      </c>
      <c r="F181" s="7">
        <f>IF(F181="","Unclassified",TRIM(F181))</f>
        <v/>
      </c>
      <c r="G181" s="7" t="inlineStr">
        <is>
          <t>Corrugated boxes</t>
        </is>
      </c>
      <c r="H181" s="7" t="inlineStr">
        <is>
          <t>Sales</t>
        </is>
      </c>
      <c r="I181" s="7" t="inlineStr">
        <is>
          <t>South</t>
        </is>
      </c>
      <c r="J181" s="7" t="n">
        <v>62</v>
      </c>
      <c r="K181" s="7" t="n">
        <v>137.89</v>
      </c>
      <c r="L181" s="7" t="n">
        <v>8548.870000000001</v>
      </c>
      <c r="M181" s="7" t="inlineStr">
        <is>
          <t>Overdue</t>
        </is>
      </c>
      <c r="N181" s="7">
        <f>IF(OR(E181="Apex Office Supplies",E181="Apex Office Supply Ltd"),"Apex Office Supplies",IF(OR(E181="Northstar IT Services",E181="North Star IT Svc"),"Northstar IT Services",IF(OR(E181="Metro Logistics",E181="Metro Logistics Pvt Ltd"),"Metro Logistics",E181)))</f>
        <v/>
      </c>
      <c r="O181" s="7">
        <f>IF(AND(ISNUMBER(L181),L181&gt;0),"Valid","Review")</f>
        <v/>
      </c>
      <c r="P181" s="7">
        <f>IF(OR(E181="",F181="",NOT(ISNUMBER(L181))),"Check Missing/Invalid Data","OK")</f>
        <v/>
      </c>
    </row>
    <row r="182">
      <c r="A182" s="7" t="inlineStr">
        <is>
          <t>PO-00270</t>
        </is>
      </c>
      <c r="B182" s="9" t="n">
        <v>45769</v>
      </c>
      <c r="C182" s="7" t="inlineStr">
        <is>
          <t>Goods Receipt</t>
        </is>
      </c>
      <c r="D182" s="7" t="inlineStr">
        <is>
          <t>SUP009</t>
        </is>
      </c>
      <c r="E182" s="7">
        <f>IF(E182="","Unknown Supplier",TRIM(E182))</f>
        <v/>
      </c>
      <c r="F182" s="7">
        <f>IF(F182="","Unclassified",TRIM(F182))</f>
        <v/>
      </c>
      <c r="G182" s="7" t="inlineStr">
        <is>
          <t>Audit support</t>
        </is>
      </c>
      <c r="H182" s="7" t="inlineStr">
        <is>
          <t>Sales</t>
        </is>
      </c>
      <c r="I182" s="7" t="inlineStr">
        <is>
          <t>West</t>
        </is>
      </c>
      <c r="J182" s="7" t="n">
        <v>82</v>
      </c>
      <c r="K182" s="7" t="n">
        <v>24.9</v>
      </c>
      <c r="L182" s="7" t="n">
        <v>2041.44</v>
      </c>
      <c r="M182" s="7" t="inlineStr">
        <is>
          <t>Paid</t>
        </is>
      </c>
      <c r="N182" s="7">
        <f>IF(OR(E182="Apex Office Supplies",E182="Apex Office Supply Ltd"),"Apex Office Supplies",IF(OR(E182="Northstar IT Services",E182="North Star IT Svc"),"Northstar IT Services",IF(OR(E182="Metro Logistics",E182="Metro Logistics Pvt Ltd"),"Metro Logistics",E182)))</f>
        <v/>
      </c>
      <c r="O182" s="7">
        <f>IF(AND(ISNUMBER(L182),L182&gt;0),"Valid","Review")</f>
        <v/>
      </c>
      <c r="P182" s="7">
        <f>IF(OR(E182="",F182="",NOT(ISNUMBER(L182))),"Check Missing/Invalid Data","OK")</f>
        <v/>
      </c>
    </row>
    <row r="183">
      <c r="A183" s="7" t="inlineStr">
        <is>
          <t>PO-00062</t>
        </is>
      </c>
      <c r="B183" s="9" t="n">
        <v>45770</v>
      </c>
      <c r="C183" s="7" t="inlineStr">
        <is>
          <t>Goods Receipt</t>
        </is>
      </c>
      <c r="D183" s="7" t="inlineStr">
        <is>
          <t>SUP005</t>
        </is>
      </c>
      <c r="E183" s="7">
        <f>IF(E183="","Unknown Supplier",TRIM(E183))</f>
        <v/>
      </c>
      <c r="F183" s="7">
        <f>IF(F183="","Unclassified",TRIM(F183))</f>
        <v/>
      </c>
      <c r="G183" s="7" t="inlineStr">
        <is>
          <t>Warehouse handling</t>
        </is>
      </c>
      <c r="H183" s="7" t="inlineStr">
        <is>
          <t>Sales</t>
        </is>
      </c>
      <c r="I183" s="7" t="inlineStr">
        <is>
          <t>South</t>
        </is>
      </c>
      <c r="J183" s="7" t="n">
        <v>44</v>
      </c>
      <c r="K183" s="7" t="n">
        <v>24.69</v>
      </c>
      <c r="L183" s="7" t="n">
        <v>1086.24</v>
      </c>
      <c r="M183" s="7" t="inlineStr">
        <is>
          <t>Pending</t>
        </is>
      </c>
      <c r="N183" s="7">
        <f>IF(OR(E183="Apex Office Supplies",E183="Apex Office Supply Ltd"),"Apex Office Supplies",IF(OR(E183="Northstar IT Services",E183="North Star IT Svc"),"Northstar IT Services",IF(OR(E183="Metro Logistics",E183="Metro Logistics Pvt Ltd"),"Metro Logistics",E183)))</f>
        <v/>
      </c>
      <c r="O183" s="7">
        <f>IF(AND(ISNUMBER(L183),L183&gt;0),"Valid","Review")</f>
        <v/>
      </c>
      <c r="P183" s="7">
        <f>IF(OR(E183="",F183="",NOT(ISNUMBER(L183))),"Check Missing/Invalid Data","OK")</f>
        <v/>
      </c>
    </row>
    <row r="184">
      <c r="A184" s="7" t="inlineStr">
        <is>
          <t>PO-00502</t>
        </is>
      </c>
      <c r="B184" s="9" t="n">
        <v>45770</v>
      </c>
      <c r="C184" s="7" t="inlineStr">
        <is>
          <t>Purchase Order</t>
        </is>
      </c>
      <c r="D184" s="7" t="inlineStr">
        <is>
          <t>SUP008</t>
        </is>
      </c>
      <c r="E184" s="7">
        <f>IF(E184="","Unknown Supplier",TRIM(E184))</f>
        <v/>
      </c>
      <c r="F184" s="7">
        <f>IF(F184="","Unclassified",TRIM(F184))</f>
        <v/>
      </c>
      <c r="G184" s="7" t="inlineStr">
        <is>
          <t>Labels</t>
        </is>
      </c>
      <c r="H184" s="7" t="inlineStr">
        <is>
          <t>Operations</t>
        </is>
      </c>
      <c r="I184" s="7" t="inlineStr">
        <is>
          <t>East</t>
        </is>
      </c>
      <c r="J184" s="7" t="n">
        <v>30</v>
      </c>
      <c r="K184" s="7" t="n">
        <v>161.56</v>
      </c>
      <c r="L184" s="7" t="n">
        <v>4846.71</v>
      </c>
      <c r="M184" s="7" t="inlineStr">
        <is>
          <t>Pending</t>
        </is>
      </c>
      <c r="N184" s="7">
        <f>IF(OR(E184="Apex Office Supplies",E184="Apex Office Supply Ltd"),"Apex Office Supplies",IF(OR(E184="Northstar IT Services",E184="North Star IT Svc"),"Northstar IT Services",IF(OR(E184="Metro Logistics",E184="Metro Logistics Pvt Ltd"),"Metro Logistics",E184)))</f>
        <v/>
      </c>
      <c r="O184" s="7">
        <f>IF(AND(ISNUMBER(L184),L184&gt;0),"Valid","Review")</f>
        <v/>
      </c>
      <c r="P184" s="7">
        <f>IF(OR(E184="",F184="",NOT(ISNUMBER(L184))),"Check Missing/Invalid Data","OK")</f>
        <v/>
      </c>
    </row>
    <row r="185">
      <c r="A185" s="7" t="inlineStr">
        <is>
          <t>PO-00199</t>
        </is>
      </c>
      <c r="B185" s="9" t="n">
        <v>45772</v>
      </c>
      <c r="C185" s="7" t="inlineStr">
        <is>
          <t>Invoice</t>
        </is>
      </c>
      <c r="D185" s="7" t="inlineStr">
        <is>
          <t>SUP002</t>
        </is>
      </c>
      <c r="E185" s="7">
        <f>IF(E185="","Unknown Supplier",TRIM(E185))</f>
        <v/>
      </c>
      <c r="F185" s="7">
        <f>IF(F185="","Unclassified",TRIM(F185))</f>
        <v/>
      </c>
      <c r="G185" s="7" t="inlineStr">
        <is>
          <t>Printer paper</t>
        </is>
      </c>
      <c r="H185" s="7" t="inlineStr">
        <is>
          <t>Technology</t>
        </is>
      </c>
      <c r="I185" s="7" t="inlineStr">
        <is>
          <t>East</t>
        </is>
      </c>
      <c r="J185" s="7" t="n">
        <v>31</v>
      </c>
      <c r="K185" s="7" t="n">
        <v>460.71</v>
      </c>
      <c r="L185" s="7" t="n">
        <v>14282.13</v>
      </c>
      <c r="M185" s="7" t="inlineStr">
        <is>
          <t>Pending</t>
        </is>
      </c>
      <c r="N185" s="7">
        <f>IF(OR(E185="Apex Office Supplies",E185="Apex Office Supply Ltd"),"Apex Office Supplies",IF(OR(E185="Northstar IT Services",E185="North Star IT Svc"),"Northstar IT Services",IF(OR(E185="Metro Logistics",E185="Metro Logistics Pvt Ltd"),"Metro Logistics",E185)))</f>
        <v/>
      </c>
      <c r="O185" s="7">
        <f>IF(AND(ISNUMBER(L185),L185&gt;0),"Valid","Review")</f>
        <v/>
      </c>
      <c r="P185" s="7">
        <f>IF(OR(E185="",F185="",NOT(ISNUMBER(L185))),"Check Missing/Invalid Data","OK")</f>
        <v/>
      </c>
    </row>
    <row r="186">
      <c r="A186" s="7" t="inlineStr">
        <is>
          <t>PO-00499</t>
        </is>
      </c>
      <c r="B186" s="9" t="n">
        <v>45772</v>
      </c>
      <c r="C186" s="7" t="inlineStr">
        <is>
          <t>Goods Receipt</t>
        </is>
      </c>
      <c r="D186" s="7" t="inlineStr">
        <is>
          <t>SUP010</t>
        </is>
      </c>
      <c r="E186" s="7">
        <f>IF(E186="","Unknown Supplier",TRIM(E186))</f>
        <v/>
      </c>
      <c r="F186" s="7">
        <f>IF(F186="","Unclassified",TRIM(F186))</f>
        <v/>
      </c>
      <c r="G186" s="7" t="inlineStr">
        <is>
          <t>Natural gas</t>
        </is>
      </c>
      <c r="H186" s="7" t="inlineStr">
        <is>
          <t>Corporate</t>
        </is>
      </c>
      <c r="I186" s="7" t="inlineStr">
        <is>
          <t>West</t>
        </is>
      </c>
      <c r="J186" s="7" t="n">
        <v>60</v>
      </c>
      <c r="K186" s="7" t="n">
        <v>88.72</v>
      </c>
      <c r="L186" s="7" t="n">
        <v>5323.06</v>
      </c>
      <c r="M186" s="7" t="inlineStr">
        <is>
          <t>Pending</t>
        </is>
      </c>
      <c r="N186" s="7">
        <f>IF(OR(E186="Apex Office Supplies",E186="Apex Office Supply Ltd"),"Apex Office Supplies",IF(OR(E186="Northstar IT Services",E186="North Star IT Svc"),"Northstar IT Services",IF(OR(E186="Metro Logistics",E186="Metro Logistics Pvt Ltd"),"Metro Logistics",E186)))</f>
        <v/>
      </c>
      <c r="O186" s="7">
        <f>IF(AND(ISNUMBER(L186),L186&gt;0),"Valid","Review")</f>
        <v/>
      </c>
      <c r="P186" s="7">
        <f>IF(OR(E186="",F186="",NOT(ISNUMBER(L186))),"Check Missing/Invalid Data","OK")</f>
        <v/>
      </c>
    </row>
    <row r="187">
      <c r="A187" s="7" t="inlineStr">
        <is>
          <t>PO-00169</t>
        </is>
      </c>
      <c r="B187" s="9" t="n">
        <v>45773</v>
      </c>
      <c r="C187" s="7" t="inlineStr">
        <is>
          <t>Purchase Order</t>
        </is>
      </c>
      <c r="D187" s="7" t="inlineStr">
        <is>
          <t>SUP003</t>
        </is>
      </c>
      <c r="E187" s="7">
        <f>IF(E187="","Unknown Supplier",TRIM(E187))</f>
        <v/>
      </c>
      <c r="F187" s="7">
        <f>IF(F187="","Unclassified",TRIM(F187))</f>
        <v/>
      </c>
      <c r="G187" s="7" t="inlineStr">
        <is>
          <t>IT consulting</t>
        </is>
      </c>
      <c r="H187" s="7" t="inlineStr">
        <is>
          <t>Manufacturing</t>
        </is>
      </c>
      <c r="I187" s="7" t="inlineStr">
        <is>
          <t>North</t>
        </is>
      </c>
      <c r="J187" s="7" t="n">
        <v>101</v>
      </c>
      <c r="K187" s="7" t="n">
        <v>91.04000000000001</v>
      </c>
      <c r="L187" s="7" t="n">
        <v>9194.9</v>
      </c>
      <c r="M187" s="7" t="inlineStr">
        <is>
          <t>Overdue</t>
        </is>
      </c>
      <c r="N187" s="7">
        <f>IF(OR(E187="Apex Office Supplies",E187="Apex Office Supply Ltd"),"Apex Office Supplies",IF(OR(E187="Northstar IT Services",E187="North Star IT Svc"),"Northstar IT Services",IF(OR(E187="Metro Logistics",E187="Metro Logistics Pvt Ltd"),"Metro Logistics",E187)))</f>
        <v/>
      </c>
      <c r="O187" s="7">
        <f>IF(AND(ISNUMBER(L187),L187&gt;0),"Valid","Review")</f>
        <v/>
      </c>
      <c r="P187" s="7">
        <f>IF(OR(E187="",F187="",NOT(ISNUMBER(L187))),"Check Missing/Invalid Data","OK")</f>
        <v/>
      </c>
    </row>
    <row r="188">
      <c r="A188" s="7" t="inlineStr">
        <is>
          <t>PO-00122</t>
        </is>
      </c>
      <c r="B188" s="9" t="n">
        <v>45773</v>
      </c>
      <c r="C188" s="7" t="inlineStr">
        <is>
          <t>Goods Receipt</t>
        </is>
      </c>
      <c r="D188" s="7" t="inlineStr">
        <is>
          <t>SUP011</t>
        </is>
      </c>
      <c r="E188" s="7">
        <f>IF(E188="","Unknown Supplier",TRIM(E188))</f>
        <v/>
      </c>
      <c r="F188" s="7">
        <f>IF(F188="","Unclassified",TRIM(F188))</f>
        <v/>
      </c>
      <c r="G188" s="7" t="inlineStr">
        <is>
          <t>Print advertising</t>
        </is>
      </c>
      <c r="H188" s="7" t="inlineStr">
        <is>
          <t>Corporate</t>
        </is>
      </c>
      <c r="I188" s="7" t="inlineStr">
        <is>
          <t>West</t>
        </is>
      </c>
      <c r="J188" s="7" t="n">
        <v>109</v>
      </c>
      <c r="K188" s="7" t="n">
        <v>161.85</v>
      </c>
      <c r="L188" s="7" t="n">
        <v>17641.37</v>
      </c>
      <c r="M188" s="7" t="inlineStr">
        <is>
          <t>Paid</t>
        </is>
      </c>
      <c r="N188" s="7">
        <f>IF(OR(E188="Apex Office Supplies",E188="Apex Office Supply Ltd"),"Apex Office Supplies",IF(OR(E188="Northstar IT Services",E188="North Star IT Svc"),"Northstar IT Services",IF(OR(E188="Metro Logistics",E188="Metro Logistics Pvt Ltd"),"Metro Logistics",E188)))</f>
        <v/>
      </c>
      <c r="O188" s="7">
        <f>IF(AND(ISNUMBER(L188),L188&gt;0),"Valid","Review")</f>
        <v/>
      </c>
      <c r="P188" s="7">
        <f>IF(OR(E188="",F188="",NOT(ISNUMBER(L188))),"Check Missing/Invalid Data","OK")</f>
        <v/>
      </c>
    </row>
    <row r="189">
      <c r="A189" s="7" t="inlineStr">
        <is>
          <t>PO-00044</t>
        </is>
      </c>
      <c r="B189" s="9" t="n">
        <v>45774</v>
      </c>
      <c r="C189" s="7" t="inlineStr">
        <is>
          <t>Purchase Order</t>
        </is>
      </c>
      <c r="D189" s="7" t="inlineStr">
        <is>
          <t>SUP004</t>
        </is>
      </c>
      <c r="E189" s="7">
        <f>IF(E189="","Unknown Supplier",TRIM(E189))</f>
        <v/>
      </c>
      <c r="F189" s="7">
        <f>IF(F189="","Unclassified",TRIM(F189))</f>
        <v/>
      </c>
      <c r="G189" s="7" t="inlineStr">
        <is>
          <t>Facility maintenance</t>
        </is>
      </c>
      <c r="H189" s="7" t="inlineStr">
        <is>
          <t>Technology</t>
        </is>
      </c>
      <c r="I189" s="7" t="inlineStr">
        <is>
          <t>West</t>
        </is>
      </c>
      <c r="J189" s="7" t="n">
        <v>36</v>
      </c>
      <c r="K189" s="7" t="n">
        <v>201.24</v>
      </c>
      <c r="L189" s="7" t="n">
        <v>7244.57</v>
      </c>
      <c r="M189" s="7" t="inlineStr">
        <is>
          <t>Overdue</t>
        </is>
      </c>
      <c r="N189" s="7">
        <f>IF(OR(E189="Apex Office Supplies",E189="Apex Office Supply Ltd"),"Apex Office Supplies",IF(OR(E189="Northstar IT Services",E189="North Star IT Svc"),"Northstar IT Services",IF(OR(E189="Metro Logistics",E189="Metro Logistics Pvt Ltd"),"Metro Logistics",E189)))</f>
        <v/>
      </c>
      <c r="O189" s="7">
        <f>IF(AND(ISNUMBER(L189),L189&gt;0),"Valid","Review")</f>
        <v/>
      </c>
      <c r="P189" s="7">
        <f>IF(OR(E189="",F189="",NOT(ISNUMBER(L189))),"Check Missing/Invalid Data","OK")</f>
        <v/>
      </c>
    </row>
    <row r="190">
      <c r="A190" s="7" t="inlineStr">
        <is>
          <t>PO-00081</t>
        </is>
      </c>
      <c r="B190" s="9" t="n">
        <v>45774</v>
      </c>
      <c r="C190" s="7" t="inlineStr">
        <is>
          <t>Purchase Order</t>
        </is>
      </c>
      <c r="D190" s="7" t="inlineStr">
        <is>
          <t>SUP006</t>
        </is>
      </c>
      <c r="E190" s="7">
        <f>IF(E190="","Unknown Supplier",TRIM(E190))</f>
        <v/>
      </c>
      <c r="F190" s="7">
        <f>IF(F190="","Unclassified",TRIM(F190))</f>
        <v/>
      </c>
      <c r="G190" s="7" t="inlineStr">
        <is>
          <t>Courier services</t>
        </is>
      </c>
      <c r="H190" s="7" t="inlineStr">
        <is>
          <t>Corporate</t>
        </is>
      </c>
      <c r="I190" s="7" t="inlineStr">
        <is>
          <t>North</t>
        </is>
      </c>
      <c r="J190" s="7" t="n">
        <v>69</v>
      </c>
      <c r="K190" s="7" t="n">
        <v>9.19</v>
      </c>
      <c r="L190" s="7" t="n">
        <v>634.05</v>
      </c>
      <c r="M190" s="7" t="inlineStr">
        <is>
          <t>Overdue</t>
        </is>
      </c>
      <c r="N190" s="7">
        <f>IF(OR(E190="Apex Office Supplies",E190="Apex Office Supply Ltd"),"Apex Office Supplies",IF(OR(E190="Northstar IT Services",E190="North Star IT Svc"),"Northstar IT Services",IF(OR(E190="Metro Logistics",E190="Metro Logistics Pvt Ltd"),"Metro Logistics",E190)))</f>
        <v/>
      </c>
      <c r="O190" s="7">
        <f>IF(AND(ISNUMBER(L190),L190&gt;0),"Valid","Review")</f>
        <v/>
      </c>
      <c r="P190" s="7">
        <f>IF(OR(E190="",F190="",NOT(ISNUMBER(L190))),"Check Missing/Invalid Data","OK")</f>
        <v/>
      </c>
    </row>
    <row r="191">
      <c r="A191" s="7" t="inlineStr">
        <is>
          <t>PO-00332</t>
        </is>
      </c>
      <c r="B191" s="9" t="n">
        <v>45775</v>
      </c>
      <c r="C191" s="7" t="inlineStr">
        <is>
          <t>Invoice</t>
        </is>
      </c>
      <c r="D191" s="7" t="inlineStr">
        <is>
          <t>SUP007</t>
        </is>
      </c>
      <c r="E191" s="7">
        <f>IF(E191="","Unknown Supplier",TRIM(E191))</f>
        <v/>
      </c>
      <c r="F191" s="7">
        <f>IF(F191="","Unclassified",TRIM(F191))</f>
        <v/>
      </c>
      <c r="G191" s="7" t="inlineStr">
        <is>
          <t>Facility maintenance</t>
        </is>
      </c>
      <c r="H191" s="7" t="inlineStr">
        <is>
          <t>Technology</t>
        </is>
      </c>
      <c r="I191" s="7" t="inlineStr">
        <is>
          <t>South</t>
        </is>
      </c>
      <c r="J191" s="7" t="n">
        <v>14</v>
      </c>
      <c r="K191" s="7" t="n">
        <v>1037.89</v>
      </c>
      <c r="L191" s="7" t="n">
        <v>14530.51</v>
      </c>
      <c r="M191" s="7" t="inlineStr">
        <is>
          <t>Pending</t>
        </is>
      </c>
      <c r="N191" s="7">
        <f>IF(OR(E191="Apex Office Supplies",E191="Apex Office Supply Ltd"),"Apex Office Supplies",IF(OR(E191="Northstar IT Services",E191="North Star IT Svc"),"Northstar IT Services",IF(OR(E191="Metro Logistics",E191="Metro Logistics Pvt Ltd"),"Metro Logistics",E191)))</f>
        <v/>
      </c>
      <c r="O191" s="7">
        <f>IF(AND(ISNUMBER(L191),L191&gt;0),"Valid","Review")</f>
        <v/>
      </c>
      <c r="P191" s="7">
        <f>IF(OR(E191="",F191="",NOT(ISNUMBER(L191))),"Check Missing/Invalid Data","OK")</f>
        <v/>
      </c>
    </row>
    <row r="192">
      <c r="A192" s="7" t="inlineStr">
        <is>
          <t>PO-00089</t>
        </is>
      </c>
      <c r="B192" s="9" t="n">
        <v>45777</v>
      </c>
      <c r="C192" s="7" t="inlineStr">
        <is>
          <t>Purchase Order</t>
        </is>
      </c>
      <c r="D192" s="7" t="inlineStr">
        <is>
          <t>SUP005</t>
        </is>
      </c>
      <c r="E192" s="7">
        <f>IF(E192="","Unknown Supplier",TRIM(E192))</f>
        <v/>
      </c>
      <c r="F192" s="7">
        <f>IF(F192="","Unclassified",TRIM(F192))</f>
        <v/>
      </c>
      <c r="G192" s="7" t="inlineStr">
        <is>
          <t>Courier services</t>
        </is>
      </c>
      <c r="H192" s="7" t="inlineStr">
        <is>
          <t>Corporate</t>
        </is>
      </c>
      <c r="I192" s="7" t="inlineStr">
        <is>
          <t>South</t>
        </is>
      </c>
      <c r="J192" s="7" t="n">
        <v>85</v>
      </c>
      <c r="K192" s="7" t="n">
        <v>225.92</v>
      </c>
      <c r="L192" s="7" t="n">
        <v>19203.26</v>
      </c>
      <c r="M192" s="7" t="inlineStr">
        <is>
          <t>Overdue</t>
        </is>
      </c>
      <c r="N192" s="7">
        <f>IF(OR(E192="Apex Office Supplies",E192="Apex Office Supply Ltd"),"Apex Office Supplies",IF(OR(E192="Northstar IT Services",E192="North Star IT Svc"),"Northstar IT Services",IF(OR(E192="Metro Logistics",E192="Metro Logistics Pvt Ltd"),"Metro Logistics",E192)))</f>
        <v/>
      </c>
      <c r="O192" s="7">
        <f>IF(AND(ISNUMBER(L192),L192&gt;0),"Valid","Review")</f>
        <v/>
      </c>
      <c r="P192" s="7">
        <f>IF(OR(E192="",F192="",NOT(ISNUMBER(L192))),"Check Missing/Invalid Data","OK")</f>
        <v/>
      </c>
    </row>
    <row r="193">
      <c r="A193" s="7" t="inlineStr">
        <is>
          <t>PO-00254</t>
        </is>
      </c>
      <c r="B193" s="9" t="n">
        <v>45777</v>
      </c>
      <c r="C193" s="7" t="inlineStr">
        <is>
          <t>Purchase Order</t>
        </is>
      </c>
      <c r="D193" s="7" t="inlineStr">
        <is>
          <t>SUP009</t>
        </is>
      </c>
      <c r="E193" s="7">
        <f>IF(E193="","Unknown Supplier",TRIM(E193))</f>
        <v/>
      </c>
      <c r="F193" s="7">
        <f>IF(F193="","Unclassified",TRIM(F193))</f>
        <v/>
      </c>
      <c r="G193" s="7" t="inlineStr">
        <is>
          <t>Audit support</t>
        </is>
      </c>
      <c r="H193" s="7" t="inlineStr">
        <is>
          <t>Technology</t>
        </is>
      </c>
      <c r="I193" s="7" t="inlineStr">
        <is>
          <t>South</t>
        </is>
      </c>
      <c r="J193" s="7" t="n">
        <v>8</v>
      </c>
      <c r="K193" s="7" t="n">
        <v>3307.24</v>
      </c>
      <c r="L193" s="7" t="n">
        <v>26457.94</v>
      </c>
      <c r="M193" s="7" t="inlineStr">
        <is>
          <t>Overdue</t>
        </is>
      </c>
      <c r="N193" s="7">
        <f>IF(OR(E193="Apex Office Supplies",E193="Apex Office Supply Ltd"),"Apex Office Supplies",IF(OR(E193="Northstar IT Services",E193="North Star IT Svc"),"Northstar IT Services",IF(OR(E193="Metro Logistics",E193="Metro Logistics Pvt Ltd"),"Metro Logistics",E193)))</f>
        <v/>
      </c>
      <c r="O193" s="7">
        <f>IF(AND(ISNUMBER(L193),L193&gt;0),"Valid","Review")</f>
        <v/>
      </c>
      <c r="P193" s="7">
        <f>IF(OR(E193="",F193="",NOT(ISNUMBER(L193))),"Check Missing/Invalid Data","OK")</f>
        <v/>
      </c>
    </row>
    <row r="194">
      <c r="A194" s="7" t="inlineStr">
        <is>
          <t>PO-00231</t>
        </is>
      </c>
      <c r="B194" s="9" t="n">
        <v>45777</v>
      </c>
      <c r="C194" s="7" t="inlineStr">
        <is>
          <t>Purchase Order</t>
        </is>
      </c>
      <c r="D194" s="7" t="inlineStr">
        <is>
          <t>SUP001</t>
        </is>
      </c>
      <c r="E194" s="7">
        <f>IF(E194="","Unknown Supplier",TRIM(E194))</f>
        <v/>
      </c>
      <c r="F194" s="7">
        <f>IF(F194="","Unclassified",TRIM(F194))</f>
        <v/>
      </c>
      <c r="G194" s="7" t="inlineStr">
        <is>
          <t>Toner cartridges</t>
        </is>
      </c>
      <c r="H194" s="7" t="inlineStr">
        <is>
          <t>Operations</t>
        </is>
      </c>
      <c r="I194" s="7" t="inlineStr">
        <is>
          <t>North</t>
        </is>
      </c>
      <c r="J194" s="7" t="n">
        <v>61</v>
      </c>
      <c r="K194" s="7" t="n">
        <v>98.78</v>
      </c>
      <c r="L194" s="7" t="n">
        <v>6025.65</v>
      </c>
      <c r="M194" s="7" t="inlineStr">
        <is>
          <t>Overdue</t>
        </is>
      </c>
      <c r="N194" s="7">
        <f>IF(OR(E194="Apex Office Supplies",E194="Apex Office Supply Ltd"),"Apex Office Supplies",IF(OR(E194="Northstar IT Services",E194="North Star IT Svc"),"Northstar IT Services",IF(OR(E194="Metro Logistics",E194="Metro Logistics Pvt Ltd"),"Metro Logistics",E194)))</f>
        <v/>
      </c>
      <c r="O194" s="7">
        <f>IF(AND(ISNUMBER(L194),L194&gt;0),"Valid","Review")</f>
        <v/>
      </c>
      <c r="P194" s="7">
        <f>IF(OR(E194="",F194="",NOT(ISNUMBER(L194))),"Check Missing/Invalid Data","OK")</f>
        <v/>
      </c>
    </row>
    <row r="195">
      <c r="A195" s="7" t="inlineStr">
        <is>
          <t>PO-00554</t>
        </is>
      </c>
      <c r="B195" s="9" t="n">
        <v>45778</v>
      </c>
      <c r="C195" s="7" t="inlineStr">
        <is>
          <t>Purchase Order</t>
        </is>
      </c>
      <c r="D195" s="7" t="inlineStr">
        <is>
          <t>SUP011</t>
        </is>
      </c>
      <c r="E195" s="7">
        <f>IF(E195="","Unknown Supplier",TRIM(E195))</f>
        <v/>
      </c>
      <c r="F195" s="7">
        <f>IF(F195="","Unclassified",TRIM(F195))</f>
        <v/>
      </c>
      <c r="G195" s="7" t="inlineStr">
        <is>
          <t>Digital campaign</t>
        </is>
      </c>
      <c r="H195" s="7" t="inlineStr">
        <is>
          <t>Operations</t>
        </is>
      </c>
      <c r="I195" s="7" t="inlineStr">
        <is>
          <t>West</t>
        </is>
      </c>
      <c r="J195" s="7" t="n">
        <v>96</v>
      </c>
      <c r="K195" s="7" t="n">
        <v>139.8</v>
      </c>
      <c r="L195" s="7" t="n">
        <v>13420.49</v>
      </c>
      <c r="M195" s="7" t="inlineStr">
        <is>
          <t>Paid</t>
        </is>
      </c>
      <c r="N195" s="7">
        <f>IF(OR(E195="Apex Office Supplies",E195="Apex Office Supply Ltd"),"Apex Office Supplies",IF(OR(E195="Northstar IT Services",E195="North Star IT Svc"),"Northstar IT Services",IF(OR(E195="Metro Logistics",E195="Metro Logistics Pvt Ltd"),"Metro Logistics",E195)))</f>
        <v/>
      </c>
      <c r="O195" s="7">
        <f>IF(AND(ISNUMBER(L195),L195&gt;0),"Valid","Review")</f>
        <v/>
      </c>
      <c r="P195" s="7">
        <f>IF(OR(E195="",F195="",NOT(ISNUMBER(L195))),"Check Missing/Invalid Data","OK")</f>
        <v/>
      </c>
    </row>
    <row r="196">
      <c r="A196" s="7" t="inlineStr">
        <is>
          <t>PO-00193</t>
        </is>
      </c>
      <c r="B196" s="9" t="n">
        <v>45778</v>
      </c>
      <c r="C196" s="7" t="inlineStr">
        <is>
          <t>Purchase Order</t>
        </is>
      </c>
      <c r="D196" s="7" t="inlineStr">
        <is>
          <t>SUP011</t>
        </is>
      </c>
      <c r="E196" s="7">
        <f>IF(E196="","Unknown Supplier",TRIM(E196))</f>
        <v/>
      </c>
      <c r="F196" s="7">
        <f>IF(F196="","Unclassified",TRIM(F196))</f>
        <v/>
      </c>
      <c r="G196" s="7" t="inlineStr">
        <is>
          <t>Promotional materials</t>
        </is>
      </c>
      <c r="H196" s="7" t="inlineStr">
        <is>
          <t>Operations</t>
        </is>
      </c>
      <c r="I196" s="7" t="inlineStr">
        <is>
          <t>West</t>
        </is>
      </c>
      <c r="J196" s="7" t="n">
        <v>73</v>
      </c>
      <c r="K196" s="7" t="n">
        <v>95.42</v>
      </c>
      <c r="L196" s="7" t="n">
        <v>6965.44</v>
      </c>
      <c r="M196" s="7" t="inlineStr">
        <is>
          <t>Pending</t>
        </is>
      </c>
      <c r="N196" s="7">
        <f>IF(OR(E196="Apex Office Supplies",E196="Apex Office Supply Ltd"),"Apex Office Supplies",IF(OR(E196="Northstar IT Services",E196="North Star IT Svc"),"Northstar IT Services",IF(OR(E196="Metro Logistics",E196="Metro Logistics Pvt Ltd"),"Metro Logistics",E196)))</f>
        <v/>
      </c>
      <c r="O196" s="7">
        <f>IF(AND(ISNUMBER(L196),L196&gt;0),"Valid","Review")</f>
        <v/>
      </c>
      <c r="P196" s="7">
        <f>IF(OR(E196="",F196="",NOT(ISNUMBER(L196))),"Check Missing/Invalid Data","OK")</f>
        <v/>
      </c>
    </row>
    <row r="197">
      <c r="A197" s="7" t="inlineStr">
        <is>
          <t>PO-00027</t>
        </is>
      </c>
      <c r="B197" s="9" t="n">
        <v>45779</v>
      </c>
      <c r="C197" s="7" t="inlineStr">
        <is>
          <t>Invoice</t>
        </is>
      </c>
      <c r="D197" s="7" t="inlineStr">
        <is>
          <t>SUP003</t>
        </is>
      </c>
      <c r="E197" s="7">
        <f>IF(E197="","Unknown Supplier",TRIM(E197))</f>
        <v/>
      </c>
      <c r="F197" s="7">
        <f>IF(F197="","Unclassified",TRIM(F197))</f>
        <v/>
      </c>
      <c r="G197" s="7" t="inlineStr">
        <is>
          <t>Software support</t>
        </is>
      </c>
      <c r="H197" s="7" t="inlineStr">
        <is>
          <t>Operations</t>
        </is>
      </c>
      <c r="I197" s="7" t="inlineStr">
        <is>
          <t>West</t>
        </is>
      </c>
      <c r="J197" s="7" t="n">
        <v>111</v>
      </c>
      <c r="K197" s="7" t="n">
        <v>133.65</v>
      </c>
      <c r="L197" s="7" t="n">
        <v>14835.37</v>
      </c>
      <c r="M197" s="7" t="inlineStr">
        <is>
          <t>Paid</t>
        </is>
      </c>
      <c r="N197" s="7">
        <f>IF(OR(E197="Apex Office Supplies",E197="Apex Office Supply Ltd"),"Apex Office Supplies",IF(OR(E197="Northstar IT Services",E197="North Star IT Svc"),"Northstar IT Services",IF(OR(E197="Metro Logistics",E197="Metro Logistics Pvt Ltd"),"Metro Logistics",E197)))</f>
        <v/>
      </c>
      <c r="O197" s="7">
        <f>IF(AND(ISNUMBER(L197),L197&gt;0),"Valid","Review")</f>
        <v/>
      </c>
      <c r="P197" s="7">
        <f>IF(OR(E197="",F197="",NOT(ISNUMBER(L197))),"Check Missing/Invalid Data","OK")</f>
        <v/>
      </c>
    </row>
    <row r="198">
      <c r="A198" s="7" t="inlineStr">
        <is>
          <t>PO-00318</t>
        </is>
      </c>
      <c r="B198" s="9" t="n">
        <v>45779</v>
      </c>
      <c r="C198" s="7" t="inlineStr">
        <is>
          <t>Goods Receipt</t>
        </is>
      </c>
      <c r="D198" s="7" t="inlineStr">
        <is>
          <t>SUP004</t>
        </is>
      </c>
      <c r="E198" s="7">
        <f>IF(E198="","Unknown Supplier",TRIM(E198))</f>
        <v/>
      </c>
      <c r="F198" s="7">
        <f>IF(F198="","Unclassified",TRIM(F198))</f>
        <v/>
      </c>
      <c r="G198" s="7" t="inlineStr">
        <is>
          <t>IT consulting</t>
        </is>
      </c>
      <c r="H198" s="7" t="inlineStr">
        <is>
          <t>Sales</t>
        </is>
      </c>
      <c r="I198" s="7" t="inlineStr">
        <is>
          <t>South</t>
        </is>
      </c>
      <c r="J198" s="7" t="n">
        <v>45</v>
      </c>
      <c r="K198" s="7" t="n">
        <v>401.66</v>
      </c>
      <c r="L198" s="7" t="n">
        <v>18074.53</v>
      </c>
      <c r="M198" s="7" t="inlineStr">
        <is>
          <t>Overdue</t>
        </is>
      </c>
      <c r="N198" s="7">
        <f>IF(OR(E198="Apex Office Supplies",E198="Apex Office Supply Ltd"),"Apex Office Supplies",IF(OR(E198="Northstar IT Services",E198="North Star IT Svc"),"Northstar IT Services",IF(OR(E198="Metro Logistics",E198="Metro Logistics Pvt Ltd"),"Metro Logistics",E198)))</f>
        <v/>
      </c>
      <c r="O198" s="7">
        <f>IF(AND(ISNUMBER(L198),L198&gt;0),"Valid","Review")</f>
        <v/>
      </c>
      <c r="P198" s="7">
        <f>IF(OR(E198="",F198="",NOT(ISNUMBER(L198))),"Check Missing/Invalid Data","OK")</f>
        <v/>
      </c>
    </row>
    <row r="199">
      <c r="A199" s="7" t="inlineStr">
        <is>
          <t>PO-00058</t>
        </is>
      </c>
      <c r="B199" s="9" t="n">
        <v>45780</v>
      </c>
      <c r="C199" s="7" t="inlineStr">
        <is>
          <t>Invoice</t>
        </is>
      </c>
      <c r="D199" s="7" t="inlineStr">
        <is>
          <t>SUP005</t>
        </is>
      </c>
      <c r="E199" s="7">
        <f>IF(E199="","Unknown Supplier",TRIM(E199))</f>
        <v/>
      </c>
      <c r="F199" s="7">
        <f>IF(F199="","Unclassified",TRIM(F199))</f>
        <v/>
      </c>
      <c r="G199" s="7" t="inlineStr">
        <is>
          <t>Courier services</t>
        </is>
      </c>
      <c r="H199" s="7" t="inlineStr">
        <is>
          <t>Technology</t>
        </is>
      </c>
      <c r="I199" s="7" t="inlineStr">
        <is>
          <t>North</t>
        </is>
      </c>
      <c r="J199" s="7" t="n">
        <v>31</v>
      </c>
      <c r="K199" s="7" t="n">
        <v>706.22</v>
      </c>
      <c r="L199" s="7" t="n">
        <v>21892.91</v>
      </c>
      <c r="M199" s="7" t="inlineStr">
        <is>
          <t>Paid</t>
        </is>
      </c>
      <c r="N199" s="7">
        <f>IF(OR(E199="Apex Office Supplies",E199="Apex Office Supply Ltd"),"Apex Office Supplies",IF(OR(E199="Northstar IT Services",E199="North Star IT Svc"),"Northstar IT Services",IF(OR(E199="Metro Logistics",E199="Metro Logistics Pvt Ltd"),"Metro Logistics",E199)))</f>
        <v/>
      </c>
      <c r="O199" s="7">
        <f>IF(AND(ISNUMBER(L199),L199&gt;0),"Valid","Review")</f>
        <v/>
      </c>
      <c r="P199" s="7">
        <f>IF(OR(E199="",F199="",NOT(ISNUMBER(L199))),"Check Missing/Invalid Data","OK")</f>
        <v/>
      </c>
    </row>
    <row r="200">
      <c r="A200" s="7" t="inlineStr">
        <is>
          <t>PO-00105</t>
        </is>
      </c>
      <c r="B200" s="9" t="n">
        <v>45780</v>
      </c>
      <c r="C200" s="7" t="inlineStr">
        <is>
          <t>Purchase Order</t>
        </is>
      </c>
      <c r="D200" s="7" t="inlineStr">
        <is>
          <t>SUP010</t>
        </is>
      </c>
      <c r="E200" s="7">
        <f>IF(E200="","Unknown Supplier",TRIM(E200))</f>
        <v/>
      </c>
      <c r="F200" s="7">
        <f>IF(F200="","Unclassified",TRIM(F200))</f>
        <v/>
      </c>
      <c r="G200" s="7" t="inlineStr">
        <is>
          <t>Water services</t>
        </is>
      </c>
      <c r="H200" s="7" t="inlineStr">
        <is>
          <t>Sales</t>
        </is>
      </c>
      <c r="I200" s="7" t="inlineStr">
        <is>
          <t>West</t>
        </is>
      </c>
      <c r="J200" s="7" t="n">
        <v>53</v>
      </c>
      <c r="K200" s="7" t="n">
        <v>291.05</v>
      </c>
      <c r="L200" s="7" t="n">
        <v>15425.51</v>
      </c>
      <c r="M200" s="7" t="inlineStr">
        <is>
          <t>Pending</t>
        </is>
      </c>
      <c r="N200" s="7">
        <f>IF(OR(E200="Apex Office Supplies",E200="Apex Office Supply Ltd"),"Apex Office Supplies",IF(OR(E200="Northstar IT Services",E200="North Star IT Svc"),"Northstar IT Services",IF(OR(E200="Metro Logistics",E200="Metro Logistics Pvt Ltd"),"Metro Logistics",E200)))</f>
        <v/>
      </c>
      <c r="O200" s="7">
        <f>IF(AND(ISNUMBER(L200),L200&gt;0),"Valid","Review")</f>
        <v/>
      </c>
      <c r="P200" s="7">
        <f>IF(OR(E200="",F200="",NOT(ISNUMBER(L200))),"Check Missing/Invalid Data","OK")</f>
        <v/>
      </c>
    </row>
    <row r="201">
      <c r="A201" s="7" t="inlineStr">
        <is>
          <t>PO-00418</t>
        </is>
      </c>
      <c r="B201" s="9" t="n">
        <v>45781</v>
      </c>
      <c r="C201" s="7" t="inlineStr">
        <is>
          <t>Invoice</t>
        </is>
      </c>
      <c r="D201" s="7" t="inlineStr">
        <is>
          <t>SUP001</t>
        </is>
      </c>
      <c r="E201" s="7">
        <f>IF(E201="","Unknown Supplier",TRIM(E201))</f>
        <v/>
      </c>
      <c r="F201" s="7">
        <f>IF(F201="","Unclassified",TRIM(F201))</f>
        <v/>
      </c>
      <c r="G201" s="7" t="inlineStr">
        <is>
          <t>Toner cartridges</t>
        </is>
      </c>
      <c r="H201" s="7" t="inlineStr">
        <is>
          <t>Technology</t>
        </is>
      </c>
      <c r="I201" s="7" t="inlineStr">
        <is>
          <t>South</t>
        </is>
      </c>
      <c r="J201" s="7" t="n">
        <v>77</v>
      </c>
      <c r="K201" s="7" t="n">
        <v>187.87</v>
      </c>
      <c r="L201" s="7" t="n">
        <v>14466.26</v>
      </c>
      <c r="M201" s="7" t="inlineStr">
        <is>
          <t>Overdue</t>
        </is>
      </c>
      <c r="N201" s="7">
        <f>IF(OR(E201="Apex Office Supplies",E201="Apex Office Supply Ltd"),"Apex Office Supplies",IF(OR(E201="Northstar IT Services",E201="North Star IT Svc"),"Northstar IT Services",IF(OR(E201="Metro Logistics",E201="Metro Logistics Pvt Ltd"),"Metro Logistics",E201)))</f>
        <v/>
      </c>
      <c r="O201" s="7">
        <f>IF(AND(ISNUMBER(L201),L201&gt;0),"Valid","Review")</f>
        <v/>
      </c>
      <c r="P201" s="7">
        <f>IF(OR(E201="",F201="",NOT(ISNUMBER(L201))),"Check Missing/Invalid Data","OK")</f>
        <v/>
      </c>
    </row>
    <row r="202">
      <c r="A202" s="7" t="inlineStr">
        <is>
          <t>PO-00304</t>
        </is>
      </c>
      <c r="B202" s="9" t="n">
        <v>45782</v>
      </c>
      <c r="C202" s="7" t="inlineStr">
        <is>
          <t>Invoice</t>
        </is>
      </c>
      <c r="D202" s="7" t="inlineStr">
        <is>
          <t>SUP009</t>
        </is>
      </c>
      <c r="E202" s="7">
        <f>IF(E202="","Unknown Supplier",TRIM(E202))</f>
        <v/>
      </c>
      <c r="F202" s="7">
        <f>IF(F202="","Unclassified",TRIM(F202))</f>
        <v/>
      </c>
      <c r="G202" s="7" t="inlineStr">
        <is>
          <t>Training services</t>
        </is>
      </c>
      <c r="H202" s="7" t="inlineStr">
        <is>
          <t>Operations</t>
        </is>
      </c>
      <c r="I202" s="7" t="inlineStr">
        <is>
          <t>West</t>
        </is>
      </c>
      <c r="J202" s="7" t="n">
        <v>72</v>
      </c>
      <c r="K202" s="7" t="n">
        <v>70.44</v>
      </c>
      <c r="L202" s="7" t="n">
        <v>5071.49</v>
      </c>
      <c r="M202" s="7" t="inlineStr">
        <is>
          <t>Overdue</t>
        </is>
      </c>
      <c r="N202" s="7">
        <f>IF(OR(E202="Apex Office Supplies",E202="Apex Office Supply Ltd"),"Apex Office Supplies",IF(OR(E202="Northstar IT Services",E202="North Star IT Svc"),"Northstar IT Services",IF(OR(E202="Metro Logistics",E202="Metro Logistics Pvt Ltd"),"Metro Logistics",E202)))</f>
        <v/>
      </c>
      <c r="O202" s="7">
        <f>IF(AND(ISNUMBER(L202),L202&gt;0),"Valid","Review")</f>
        <v/>
      </c>
      <c r="P202" s="7">
        <f>IF(OR(E202="",F202="",NOT(ISNUMBER(L202))),"Check Missing/Invalid Data","OK")</f>
        <v/>
      </c>
    </row>
    <row r="203">
      <c r="A203" s="7" t="inlineStr">
        <is>
          <t>PO-00267</t>
        </is>
      </c>
      <c r="B203" s="9" t="n">
        <v>45783</v>
      </c>
      <c r="C203" s="7" t="inlineStr">
        <is>
          <t>Invoice</t>
        </is>
      </c>
      <c r="D203" s="7" t="inlineStr">
        <is>
          <t>SUP008</t>
        </is>
      </c>
      <c r="E203" s="7">
        <f>IF(E203="","Unknown Supplier",TRIM(E203))</f>
        <v/>
      </c>
      <c r="F203" s="7">
        <f>IF(F203="","Unclassified",TRIM(F203))</f>
        <v/>
      </c>
      <c r="G203" s="7" t="inlineStr">
        <is>
          <t>Protective packaging</t>
        </is>
      </c>
      <c r="H203" s="7" t="inlineStr">
        <is>
          <t>Sales</t>
        </is>
      </c>
      <c r="I203" s="7" t="inlineStr">
        <is>
          <t>West</t>
        </is>
      </c>
      <c r="J203" s="7" t="n">
        <v>44</v>
      </c>
      <c r="K203" s="7" t="n">
        <v>386.12</v>
      </c>
      <c r="L203" s="7" t="n">
        <v>16989.15</v>
      </c>
      <c r="M203" s="7" t="inlineStr">
        <is>
          <t>Paid</t>
        </is>
      </c>
      <c r="N203" s="7">
        <f>IF(OR(E203="Apex Office Supplies",E203="Apex Office Supply Ltd"),"Apex Office Supplies",IF(OR(E203="Northstar IT Services",E203="North Star IT Svc"),"Northstar IT Services",IF(OR(E203="Metro Logistics",E203="Metro Logistics Pvt Ltd"),"Metro Logistics",E203)))</f>
        <v/>
      </c>
      <c r="O203" s="7">
        <f>IF(AND(ISNUMBER(L203),L203&gt;0),"Valid","Review")</f>
        <v/>
      </c>
      <c r="P203" s="7">
        <f>IF(OR(E203="",F203="",NOT(ISNUMBER(L203))),"Check Missing/Invalid Data","OK")</f>
        <v/>
      </c>
    </row>
    <row r="204">
      <c r="A204" s="7" t="inlineStr">
        <is>
          <t>PO-00163</t>
        </is>
      </c>
      <c r="B204" s="9" t="n">
        <v>45784</v>
      </c>
      <c r="C204" s="7" t="inlineStr">
        <is>
          <t>Goods Receipt</t>
        </is>
      </c>
      <c r="D204" s="7" t="inlineStr">
        <is>
          <t>SUP012</t>
        </is>
      </c>
      <c r="E204" s="7">
        <f>IF(E204="","Unknown Supplier",TRIM(E204))</f>
        <v/>
      </c>
      <c r="F204" s="7">
        <f>IF(F204="","Unclassified",TRIM(F204))</f>
        <v/>
      </c>
      <c r="G204" s="7" t="inlineStr">
        <is>
          <t>Repair parts</t>
        </is>
      </c>
      <c r="H204" s="7" t="inlineStr">
        <is>
          <t>Technology</t>
        </is>
      </c>
      <c r="I204" s="7" t="inlineStr">
        <is>
          <t>East</t>
        </is>
      </c>
      <c r="J204" s="7" t="n">
        <v>67</v>
      </c>
      <c r="K204" s="7" t="n">
        <v>119.06</v>
      </c>
      <c r="L204" s="7" t="n">
        <v>7976.86</v>
      </c>
      <c r="M204" s="7" t="inlineStr">
        <is>
          <t>Pending</t>
        </is>
      </c>
      <c r="N204" s="7">
        <f>IF(OR(E204="Apex Office Supplies",E204="Apex Office Supply Ltd"),"Apex Office Supplies",IF(OR(E204="Northstar IT Services",E204="North Star IT Svc"),"Northstar IT Services",IF(OR(E204="Metro Logistics",E204="Metro Logistics Pvt Ltd"),"Metro Logistics",E204)))</f>
        <v/>
      </c>
      <c r="O204" s="7">
        <f>IF(AND(ISNUMBER(L204),L204&gt;0),"Valid","Review")</f>
        <v/>
      </c>
      <c r="P204" s="7">
        <f>IF(OR(E204="",F204="",NOT(ISNUMBER(L204))),"Check Missing/Invalid Data","OK")</f>
        <v/>
      </c>
    </row>
    <row r="205">
      <c r="A205" s="7" t="inlineStr">
        <is>
          <t>PO-00041</t>
        </is>
      </c>
      <c r="B205" s="9" t="n">
        <v>45785</v>
      </c>
      <c r="C205" s="7" t="inlineStr">
        <is>
          <t>Invoice</t>
        </is>
      </c>
      <c r="D205" s="7" t="inlineStr">
        <is>
          <t>SUP011</t>
        </is>
      </c>
      <c r="E205" s="7">
        <f>IF(E205="","Unknown Supplier",TRIM(E205))</f>
        <v/>
      </c>
      <c r="F205" s="7">
        <f>IF(F205="","Unclassified",TRIM(F205))</f>
        <v/>
      </c>
      <c r="G205" s="7" t="inlineStr">
        <is>
          <t>Promotional materials</t>
        </is>
      </c>
      <c r="H205" s="7" t="inlineStr">
        <is>
          <t>Operations</t>
        </is>
      </c>
      <c r="I205" s="7" t="inlineStr">
        <is>
          <t>South</t>
        </is>
      </c>
      <c r="J205" s="7" t="n">
        <v>114</v>
      </c>
      <c r="K205" s="7" t="n">
        <v>123.41</v>
      </c>
      <c r="L205" s="7" t="n">
        <v>14068.48</v>
      </c>
      <c r="M205" s="7" t="inlineStr">
        <is>
          <t>Paid</t>
        </is>
      </c>
      <c r="N205" s="7">
        <f>IF(OR(E205="Apex Office Supplies",E205="Apex Office Supply Ltd"),"Apex Office Supplies",IF(OR(E205="Northstar IT Services",E205="North Star IT Svc"),"Northstar IT Services",IF(OR(E205="Metro Logistics",E205="Metro Logistics Pvt Ltd"),"Metro Logistics",E205)))</f>
        <v/>
      </c>
      <c r="O205" s="7">
        <f>IF(AND(ISNUMBER(L205),L205&gt;0),"Valid","Review")</f>
        <v/>
      </c>
      <c r="P205" s="7">
        <f>IF(OR(E205="",F205="",NOT(ISNUMBER(L205))),"Check Missing/Invalid Data","OK")</f>
        <v/>
      </c>
    </row>
    <row r="206">
      <c r="A206" s="7" t="inlineStr">
        <is>
          <t>PO-00026</t>
        </is>
      </c>
      <c r="B206" s="9" t="n">
        <v>45785</v>
      </c>
      <c r="C206" s="7" t="inlineStr">
        <is>
          <t>Purchase Order</t>
        </is>
      </c>
      <c r="D206" s="7" t="inlineStr">
        <is>
          <t>SUP002</t>
        </is>
      </c>
      <c r="E206" s="7">
        <f>IF(E206="","Unknown Supplier",TRIM(E206))</f>
        <v/>
      </c>
      <c r="F206" s="7">
        <f>IF(F206="","Unclassified",TRIM(F206))</f>
        <v/>
      </c>
      <c r="G206" s="7" t="inlineStr">
        <is>
          <t>Printer paper</t>
        </is>
      </c>
      <c r="H206" s="7" t="inlineStr">
        <is>
          <t>Manufacturing</t>
        </is>
      </c>
      <c r="I206" s="7" t="inlineStr">
        <is>
          <t>North</t>
        </is>
      </c>
      <c r="J206" s="7" t="n">
        <v>71</v>
      </c>
      <c r="K206" s="7" t="n">
        <v>218.6</v>
      </c>
      <c r="L206" s="7" t="n">
        <v>15520.92</v>
      </c>
      <c r="M206" s="7" t="inlineStr">
        <is>
          <t>Paid</t>
        </is>
      </c>
      <c r="N206" s="7">
        <f>IF(OR(E206="Apex Office Supplies",E206="Apex Office Supply Ltd"),"Apex Office Supplies",IF(OR(E206="Northstar IT Services",E206="North Star IT Svc"),"Northstar IT Services",IF(OR(E206="Metro Logistics",E206="Metro Logistics Pvt Ltd"),"Metro Logistics",E206)))</f>
        <v/>
      </c>
      <c r="O206" s="7">
        <f>IF(AND(ISNUMBER(L206),L206&gt;0),"Valid","Review")</f>
        <v/>
      </c>
      <c r="P206" s="7">
        <f>IF(OR(E206="",F206="",NOT(ISNUMBER(L206))),"Check Missing/Invalid Data","OK")</f>
        <v/>
      </c>
    </row>
    <row r="207">
      <c r="A207" s="7" t="inlineStr">
        <is>
          <t>PO-00079</t>
        </is>
      </c>
      <c r="B207" s="9" t="n">
        <v>45786</v>
      </c>
      <c r="C207" s="7" t="inlineStr">
        <is>
          <t>Goods Receipt</t>
        </is>
      </c>
      <c r="D207" s="7" t="inlineStr">
        <is>
          <t>SUP004</t>
        </is>
      </c>
      <c r="E207" s="7">
        <f>IF(E207="","Unknown Supplier",TRIM(E207))</f>
        <v/>
      </c>
      <c r="F207" s="7">
        <f>IF(F207="","Unclassified",TRIM(F207))</f>
        <v/>
      </c>
      <c r="G207" s="7" t="inlineStr">
        <is>
          <t>IT consulting</t>
        </is>
      </c>
      <c r="H207" s="7" t="inlineStr">
        <is>
          <t>Operations</t>
        </is>
      </c>
      <c r="I207" s="7" t="inlineStr">
        <is>
          <t>South</t>
        </is>
      </c>
      <c r="J207" s="7" t="n">
        <v>16</v>
      </c>
      <c r="K207" s="7" t="n">
        <v>378.61</v>
      </c>
      <c r="L207" s="7" t="n">
        <v>6057.79</v>
      </c>
      <c r="M207" s="7" t="inlineStr">
        <is>
          <t>Paid</t>
        </is>
      </c>
      <c r="N207" s="7">
        <f>IF(OR(E207="Apex Office Supplies",E207="Apex Office Supply Ltd"),"Apex Office Supplies",IF(OR(E207="Northstar IT Services",E207="North Star IT Svc"),"Northstar IT Services",IF(OR(E207="Metro Logistics",E207="Metro Logistics Pvt Ltd"),"Metro Logistics",E207)))</f>
        <v/>
      </c>
      <c r="O207" s="7">
        <f>IF(AND(ISNUMBER(L207),L207&gt;0),"Valid","Review")</f>
        <v/>
      </c>
      <c r="P207" s="7">
        <f>IF(OR(E207="",F207="",NOT(ISNUMBER(L207))),"Check Missing/Invalid Data","OK")</f>
        <v/>
      </c>
    </row>
    <row r="208">
      <c r="A208" s="7" t="inlineStr">
        <is>
          <t>PO-00204</t>
        </is>
      </c>
      <c r="B208" s="9" t="n">
        <v>45786</v>
      </c>
      <c r="C208" s="7" t="inlineStr">
        <is>
          <t>Goods Receipt</t>
        </is>
      </c>
      <c r="D208" s="7" t="inlineStr">
        <is>
          <t>SUP004</t>
        </is>
      </c>
      <c r="E208" s="7">
        <f>IF(E208="","Unknown Supplier",TRIM(E208))</f>
        <v/>
      </c>
      <c r="F208" s="7">
        <f>IF(F208="","Unclassified",TRIM(F208))</f>
        <v/>
      </c>
      <c r="G208" s="7" t="inlineStr">
        <is>
          <t>Cloud services</t>
        </is>
      </c>
      <c r="H208" s="7" t="inlineStr">
        <is>
          <t>Manufacturing</t>
        </is>
      </c>
      <c r="I208" s="7" t="inlineStr">
        <is>
          <t>North</t>
        </is>
      </c>
      <c r="J208" s="7" t="n">
        <v>17</v>
      </c>
      <c r="K208" s="7" t="n">
        <v>996.9</v>
      </c>
      <c r="L208" s="7" t="n">
        <v>16947.38</v>
      </c>
      <c r="M208" s="7" t="inlineStr">
        <is>
          <t>Overdue</t>
        </is>
      </c>
      <c r="N208" s="7">
        <f>IF(OR(E208="Apex Office Supplies",E208="Apex Office Supply Ltd"),"Apex Office Supplies",IF(OR(E208="Northstar IT Services",E208="North Star IT Svc"),"Northstar IT Services",IF(OR(E208="Metro Logistics",E208="Metro Logistics Pvt Ltd"),"Metro Logistics",E208)))</f>
        <v/>
      </c>
      <c r="O208" s="7">
        <f>IF(AND(ISNUMBER(L208),L208&gt;0),"Valid","Review")</f>
        <v/>
      </c>
      <c r="P208" s="7">
        <f>IF(OR(E208="",F208="",NOT(ISNUMBER(L208))),"Check Missing/Invalid Data","OK")</f>
        <v/>
      </c>
    </row>
    <row r="209">
      <c r="A209" s="7" t="inlineStr">
        <is>
          <t>PO-00505</t>
        </is>
      </c>
      <c r="B209" s="9" t="n">
        <v>45786</v>
      </c>
      <c r="C209" s="7" t="inlineStr">
        <is>
          <t>Invoice</t>
        </is>
      </c>
      <c r="D209" s="7" t="inlineStr">
        <is>
          <t>SUP007</t>
        </is>
      </c>
      <c r="E209" s="7">
        <f>IF(E209="","Unknown Supplier",TRIM(E209))</f>
        <v/>
      </c>
      <c r="F209" s="7">
        <f>IF(F209="","Unclassified",TRIM(F209))</f>
        <v/>
      </c>
      <c r="G209" s="7" t="inlineStr">
        <is>
          <t>Facility maintenance</t>
        </is>
      </c>
      <c r="H209" s="7" t="inlineStr">
        <is>
          <t>Sales</t>
        </is>
      </c>
      <c r="I209" s="7" t="inlineStr">
        <is>
          <t>West</t>
        </is>
      </c>
      <c r="J209" s="7" t="n">
        <v>52</v>
      </c>
      <c r="K209" s="7" t="n">
        <v>78.95</v>
      </c>
      <c r="L209" s="7" t="n">
        <v>4105.44</v>
      </c>
      <c r="M209" s="7" t="inlineStr">
        <is>
          <t>Overdue</t>
        </is>
      </c>
      <c r="N209" s="7">
        <f>IF(OR(E209="Apex Office Supplies",E209="Apex Office Supply Ltd"),"Apex Office Supplies",IF(OR(E209="Northstar IT Services",E209="North Star IT Svc"),"Northstar IT Services",IF(OR(E209="Metro Logistics",E209="Metro Logistics Pvt Ltd"),"Metro Logistics",E209)))</f>
        <v/>
      </c>
      <c r="O209" s="7">
        <f>IF(AND(ISNUMBER(L209),L209&gt;0),"Valid","Review")</f>
        <v/>
      </c>
      <c r="P209" s="7">
        <f>IF(OR(E209="",F209="",NOT(ISNUMBER(L209))),"Check Missing/Invalid Data","OK")</f>
        <v/>
      </c>
    </row>
    <row r="210">
      <c r="A210" s="7" t="inlineStr">
        <is>
          <t>PO-00114</t>
        </is>
      </c>
      <c r="B210" s="9" t="n">
        <v>45788</v>
      </c>
      <c r="C210" s="7" t="inlineStr">
        <is>
          <t>Goods Receipt</t>
        </is>
      </c>
      <c r="D210" s="7" t="inlineStr">
        <is>
          <t>SUP011</t>
        </is>
      </c>
      <c r="E210" s="7">
        <f>IF(E210="","Unknown Supplier",TRIM(E210))</f>
        <v/>
      </c>
      <c r="F210" s="7">
        <f>IF(F210="","Unclassified",TRIM(F210))</f>
        <v/>
      </c>
      <c r="G210" s="7" t="inlineStr">
        <is>
          <t>Digital campaign</t>
        </is>
      </c>
      <c r="H210" s="7" t="inlineStr">
        <is>
          <t>Corporate</t>
        </is>
      </c>
      <c r="I210" s="7" t="inlineStr">
        <is>
          <t>West</t>
        </is>
      </c>
      <c r="J210" s="7" t="n">
        <v>87</v>
      </c>
      <c r="K210" s="7" t="n">
        <v>186.59</v>
      </c>
      <c r="L210" s="7" t="n">
        <v>16233.62</v>
      </c>
      <c r="M210" s="7" t="inlineStr">
        <is>
          <t>Pending</t>
        </is>
      </c>
      <c r="N210" s="7">
        <f>IF(OR(E210="Apex Office Supplies",E210="Apex Office Supply Ltd"),"Apex Office Supplies",IF(OR(E210="Northstar IT Services",E210="North Star IT Svc"),"Northstar IT Services",IF(OR(E210="Metro Logistics",E210="Metro Logistics Pvt Ltd"),"Metro Logistics",E210)))</f>
        <v/>
      </c>
      <c r="O210" s="7">
        <f>IF(AND(ISNUMBER(L210),L210&gt;0),"Valid","Review")</f>
        <v/>
      </c>
      <c r="P210" s="7">
        <f>IF(OR(E210="",F210="",NOT(ISNUMBER(L210))),"Check Missing/Invalid Data","OK")</f>
        <v/>
      </c>
    </row>
    <row r="211">
      <c r="A211" s="7" t="inlineStr">
        <is>
          <t>PO-00247</t>
        </is>
      </c>
      <c r="B211" s="9" t="n">
        <v>45788</v>
      </c>
      <c r="C211" s="7" t="inlineStr">
        <is>
          <t>Invoice</t>
        </is>
      </c>
      <c r="D211" s="7" t="inlineStr">
        <is>
          <t>SUP001</t>
        </is>
      </c>
      <c r="E211" s="7">
        <f>IF(E211="","Unknown Supplier",TRIM(E211))</f>
        <v/>
      </c>
      <c r="F211" s="7">
        <f>IF(F211="","Unclassified",TRIM(F211))</f>
        <v/>
      </c>
      <c r="G211" s="7" t="inlineStr">
        <is>
          <t>Pens and stationery</t>
        </is>
      </c>
      <c r="H211" s="7" t="inlineStr">
        <is>
          <t>Corporate</t>
        </is>
      </c>
      <c r="I211" s="7" t="inlineStr">
        <is>
          <t>North</t>
        </is>
      </c>
      <c r="J211" s="7" t="n">
        <v>6</v>
      </c>
      <c r="K211" s="7" t="n">
        <v>1743.37</v>
      </c>
      <c r="L211" s="7" t="n">
        <v>10460.21</v>
      </c>
      <c r="M211" s="7" t="inlineStr">
        <is>
          <t>Paid</t>
        </is>
      </c>
      <c r="N211" s="7">
        <f>IF(OR(E211="Apex Office Supplies",E211="Apex Office Supply Ltd"),"Apex Office Supplies",IF(OR(E211="Northstar IT Services",E211="North Star IT Svc"),"Northstar IT Services",IF(OR(E211="Metro Logistics",E211="Metro Logistics Pvt Ltd"),"Metro Logistics",E211)))</f>
        <v/>
      </c>
      <c r="O211" s="7">
        <f>IF(AND(ISNUMBER(L211),L211&gt;0),"Valid","Review")</f>
        <v/>
      </c>
      <c r="P211" s="7">
        <f>IF(OR(E211="",F211="",NOT(ISNUMBER(L211))),"Check Missing/Invalid Data","OK")</f>
        <v/>
      </c>
    </row>
    <row r="212">
      <c r="A212" s="7" t="inlineStr">
        <is>
          <t>PO-00592</t>
        </is>
      </c>
      <c r="B212" s="9" t="n">
        <v>45788</v>
      </c>
      <c r="C212" s="7" t="inlineStr">
        <is>
          <t>Purchase Order</t>
        </is>
      </c>
      <c r="D212" s="7" t="inlineStr">
        <is>
          <t>SUP006</t>
        </is>
      </c>
      <c r="E212" s="7">
        <f>IF(E212="","Unknown Supplier",TRIM(E212))</f>
        <v/>
      </c>
      <c r="F212" s="7">
        <f>IF(F212="","Unclassified",TRIM(F212))</f>
        <v/>
      </c>
      <c r="G212" s="7" t="inlineStr">
        <is>
          <t>Warehouse handling</t>
        </is>
      </c>
      <c r="H212" s="7" t="inlineStr">
        <is>
          <t>Corporate</t>
        </is>
      </c>
      <c r="I212" s="7" t="inlineStr">
        <is>
          <t>East</t>
        </is>
      </c>
      <c r="J212" s="7" t="n">
        <v>51</v>
      </c>
      <c r="K212" s="7" t="n">
        <v>270.71</v>
      </c>
      <c r="L212" s="7" t="n">
        <v>13806.2</v>
      </c>
      <c r="M212" s="7" t="inlineStr">
        <is>
          <t>Overdue</t>
        </is>
      </c>
      <c r="N212" s="7">
        <f>IF(OR(E212="Apex Office Supplies",E212="Apex Office Supply Ltd"),"Apex Office Supplies",IF(OR(E212="Northstar IT Services",E212="North Star IT Svc"),"Northstar IT Services",IF(OR(E212="Metro Logistics",E212="Metro Logistics Pvt Ltd"),"Metro Logistics",E212)))</f>
        <v/>
      </c>
      <c r="O212" s="7">
        <f>IF(AND(ISNUMBER(L212),L212&gt;0),"Valid","Review")</f>
        <v/>
      </c>
      <c r="P212" s="7">
        <f>IF(OR(E212="",F212="",NOT(ISNUMBER(L212))),"Check Missing/Invalid Data","OK")</f>
        <v/>
      </c>
    </row>
    <row r="213">
      <c r="A213" s="7" t="inlineStr">
        <is>
          <t>PO-00434</t>
        </is>
      </c>
      <c r="B213" s="9" t="n">
        <v>45788</v>
      </c>
      <c r="C213" s="7" t="inlineStr">
        <is>
          <t>Goods Receipt</t>
        </is>
      </c>
      <c r="D213" s="7" t="inlineStr">
        <is>
          <t>SUP009</t>
        </is>
      </c>
      <c r="E213" s="7">
        <f>IF(E213="","Unknown Supplier",TRIM(E213))</f>
        <v/>
      </c>
      <c r="F213" s="7">
        <f>IF(F213="","Unclassified",TRIM(F213))</f>
        <v/>
      </c>
      <c r="G213" s="7" t="inlineStr">
        <is>
          <t>Business consulting</t>
        </is>
      </c>
      <c r="H213" s="7" t="inlineStr">
        <is>
          <t>Corporate</t>
        </is>
      </c>
      <c r="I213" s="7" t="inlineStr">
        <is>
          <t>North</t>
        </is>
      </c>
      <c r="J213" s="7" t="n">
        <v>7</v>
      </c>
      <c r="K213" s="7" t="n">
        <v>2608.13</v>
      </c>
      <c r="L213" s="7" t="n">
        <v>18256.92</v>
      </c>
      <c r="M213" s="7" t="inlineStr">
        <is>
          <t>Overdue</t>
        </is>
      </c>
      <c r="N213" s="7">
        <f>IF(OR(E213="Apex Office Supplies",E213="Apex Office Supply Ltd"),"Apex Office Supplies",IF(OR(E213="Northstar IT Services",E213="North Star IT Svc"),"Northstar IT Services",IF(OR(E213="Metro Logistics",E213="Metro Logistics Pvt Ltd"),"Metro Logistics",E213)))</f>
        <v/>
      </c>
      <c r="O213" s="7">
        <f>IF(AND(ISNUMBER(L213),L213&gt;0),"Valid","Review")</f>
        <v/>
      </c>
      <c r="P213" s="7">
        <f>IF(OR(E213="",F213="",NOT(ISNUMBER(L213))),"Check Missing/Invalid Data","OK")</f>
        <v/>
      </c>
    </row>
    <row r="214">
      <c r="A214" s="7" t="inlineStr">
        <is>
          <t>PO-00121</t>
        </is>
      </c>
      <c r="B214" s="9" t="n">
        <v>45789</v>
      </c>
      <c r="C214" s="7" t="inlineStr">
        <is>
          <t>Invoice</t>
        </is>
      </c>
      <c r="D214" s="7" t="inlineStr">
        <is>
          <t>SUP008</t>
        </is>
      </c>
      <c r="E214" s="7">
        <f>IF(E214="","Unknown Supplier",TRIM(E214))</f>
        <v/>
      </c>
      <c r="F214" s="7">
        <f>IF(F214="","Unclassified",TRIM(F214))</f>
        <v/>
      </c>
      <c r="G214" s="7" t="inlineStr">
        <is>
          <t>Corrugated boxes</t>
        </is>
      </c>
      <c r="H214" s="7" t="inlineStr">
        <is>
          <t>Sales</t>
        </is>
      </c>
      <c r="I214" s="7" t="inlineStr">
        <is>
          <t>North</t>
        </is>
      </c>
      <c r="J214" s="7" t="n">
        <v>112</v>
      </c>
      <c r="K214" s="7" t="n">
        <v>48.19</v>
      </c>
      <c r="L214" s="7" t="n">
        <v>5397.13</v>
      </c>
      <c r="M214" s="7" t="inlineStr">
        <is>
          <t>Paid</t>
        </is>
      </c>
      <c r="N214" s="7">
        <f>IF(OR(E214="Apex Office Supplies",E214="Apex Office Supply Ltd"),"Apex Office Supplies",IF(OR(E214="Northstar IT Services",E214="North Star IT Svc"),"Northstar IT Services",IF(OR(E214="Metro Logistics",E214="Metro Logistics Pvt Ltd"),"Metro Logistics",E214)))</f>
        <v/>
      </c>
      <c r="O214" s="7">
        <f>IF(AND(ISNUMBER(L214),L214&gt;0),"Valid","Review")</f>
        <v/>
      </c>
      <c r="P214" s="7">
        <f>IF(OR(E214="",F214="",NOT(ISNUMBER(L214))),"Check Missing/Invalid Data","OK")</f>
        <v/>
      </c>
    </row>
    <row r="215">
      <c r="A215" s="7" t="inlineStr">
        <is>
          <t>PO-00239</t>
        </is>
      </c>
      <c r="B215" s="9" t="n">
        <v>45791</v>
      </c>
      <c r="C215" s="7" t="inlineStr">
        <is>
          <t>Invoice</t>
        </is>
      </c>
      <c r="D215" s="7" t="inlineStr">
        <is>
          <t>SUP007</t>
        </is>
      </c>
      <c r="E215" s="7">
        <f>IF(E215="","Unknown Supplier",TRIM(E215))</f>
        <v/>
      </c>
      <c r="F215" s="7">
        <f>IF(F215="","Unclassified",TRIM(F215))</f>
        <v/>
      </c>
      <c r="G215" s="7" t="inlineStr">
        <is>
          <t>Security services</t>
        </is>
      </c>
      <c r="H215" s="7" t="inlineStr">
        <is>
          <t>Manufacturing</t>
        </is>
      </c>
      <c r="I215" s="7" t="inlineStr">
        <is>
          <t>North</t>
        </is>
      </c>
      <c r="J215" s="7" t="n">
        <v>43</v>
      </c>
      <c r="K215" s="7" t="n">
        <v>316.21</v>
      </c>
      <c r="L215" s="7" t="n">
        <v>13597.17</v>
      </c>
      <c r="M215" s="7" t="inlineStr">
        <is>
          <t>Pending</t>
        </is>
      </c>
      <c r="N215" s="7">
        <f>IF(OR(E215="Apex Office Supplies",E215="Apex Office Supply Ltd"),"Apex Office Supplies",IF(OR(E215="Northstar IT Services",E215="North Star IT Svc"),"Northstar IT Services",IF(OR(E215="Metro Logistics",E215="Metro Logistics Pvt Ltd"),"Metro Logistics",E215)))</f>
        <v/>
      </c>
      <c r="O215" s="7">
        <f>IF(AND(ISNUMBER(L215),L215&gt;0),"Valid","Review")</f>
        <v/>
      </c>
      <c r="P215" s="7">
        <f>IF(OR(E215="",F215="",NOT(ISNUMBER(L215))),"Check Missing/Invalid Data","OK")</f>
        <v/>
      </c>
    </row>
    <row r="216">
      <c r="A216" s="7" t="inlineStr">
        <is>
          <t>PO-00504</t>
        </is>
      </c>
      <c r="B216" s="9" t="n">
        <v>45792</v>
      </c>
      <c r="C216" s="7" t="inlineStr">
        <is>
          <t>Invoice</t>
        </is>
      </c>
      <c r="D216" s="7" t="inlineStr">
        <is>
          <t>SUP010</t>
        </is>
      </c>
      <c r="E216" s="7">
        <f>IF(E216="","Unknown Supplier",TRIM(E216))</f>
        <v/>
      </c>
      <c r="F216" s="7">
        <f>IF(F216="","Unclassified",TRIM(F216))</f>
        <v/>
      </c>
      <c r="G216" s="7" t="inlineStr">
        <is>
          <t>Water services</t>
        </is>
      </c>
      <c r="H216" s="7" t="inlineStr">
        <is>
          <t>Manufacturing</t>
        </is>
      </c>
      <c r="I216" s="7" t="inlineStr">
        <is>
          <t>North</t>
        </is>
      </c>
      <c r="J216" s="7" t="n">
        <v>84</v>
      </c>
      <c r="K216" s="7" t="n">
        <v>38.43</v>
      </c>
      <c r="L216" s="7" t="n">
        <v>3228.43</v>
      </c>
      <c r="M216" s="7" t="inlineStr">
        <is>
          <t>Overdue</t>
        </is>
      </c>
      <c r="N216" s="7">
        <f>IF(OR(E216="Apex Office Supplies",E216="Apex Office Supply Ltd"),"Apex Office Supplies",IF(OR(E216="Northstar IT Services",E216="North Star IT Svc"),"Northstar IT Services",IF(OR(E216="Metro Logistics",E216="Metro Logistics Pvt Ltd"),"Metro Logistics",E216)))</f>
        <v/>
      </c>
      <c r="O216" s="7">
        <f>IF(AND(ISNUMBER(L216),L216&gt;0),"Valid","Review")</f>
        <v/>
      </c>
      <c r="P216" s="7">
        <f>IF(OR(E216="",F216="",NOT(ISNUMBER(L216))),"Check Missing/Invalid Data","OK")</f>
        <v/>
      </c>
    </row>
    <row r="217">
      <c r="A217" s="7" t="inlineStr">
        <is>
          <t>PO-00340</t>
        </is>
      </c>
      <c r="B217" s="9" t="n">
        <v>45792</v>
      </c>
      <c r="C217" s="7" t="inlineStr">
        <is>
          <t>Goods Receipt</t>
        </is>
      </c>
      <c r="D217" s="7" t="inlineStr">
        <is>
          <t>SUP004</t>
        </is>
      </c>
      <c r="E217" s="7">
        <f>IF(E217="","Unknown Supplier",TRIM(E217))</f>
        <v/>
      </c>
      <c r="F217" s="7">
        <f>IF(F217="","Unclassified",TRIM(F217))</f>
        <v/>
      </c>
      <c r="G217" s="7" t="inlineStr">
        <is>
          <t>Pens and stationery</t>
        </is>
      </c>
      <c r="H217" s="7" t="inlineStr">
        <is>
          <t>Manufacturing</t>
        </is>
      </c>
      <c r="I217" s="7" t="inlineStr">
        <is>
          <t>West</t>
        </is>
      </c>
      <c r="J217" s="7" t="n">
        <v>51</v>
      </c>
      <c r="K217" s="7" t="n">
        <v>334.95</v>
      </c>
      <c r="L217" s="7" t="n">
        <v>17082.4</v>
      </c>
      <c r="M217" s="7" t="inlineStr">
        <is>
          <t>Pending</t>
        </is>
      </c>
      <c r="N217" s="7">
        <f>IF(OR(E217="Apex Office Supplies",E217="Apex Office Supply Ltd"),"Apex Office Supplies",IF(OR(E217="Northstar IT Services",E217="North Star IT Svc"),"Northstar IT Services",IF(OR(E217="Metro Logistics",E217="Metro Logistics Pvt Ltd"),"Metro Logistics",E217)))</f>
        <v/>
      </c>
      <c r="O217" s="7">
        <f>IF(AND(ISNUMBER(L217),L217&gt;0),"Valid","Review")</f>
        <v/>
      </c>
      <c r="P217" s="7">
        <f>IF(OR(E217="",F217="",NOT(ISNUMBER(L217))),"Check Missing/Invalid Data","OK")</f>
        <v/>
      </c>
    </row>
    <row r="218">
      <c r="A218" s="7" t="inlineStr">
        <is>
          <t>PO-00534</t>
        </is>
      </c>
      <c r="B218" s="9" t="n">
        <v>45792</v>
      </c>
      <c r="C218" s="7" t="inlineStr">
        <is>
          <t>Invoice</t>
        </is>
      </c>
      <c r="D218" s="7" t="inlineStr">
        <is>
          <t>SUP004</t>
        </is>
      </c>
      <c r="E218" s="7">
        <f>IF(E218="","Unknown Supplier",TRIM(E218))</f>
        <v/>
      </c>
      <c r="F218" s="7">
        <f>IF(F218="","Unclassified",TRIM(F218))</f>
        <v/>
      </c>
      <c r="G218" s="7" t="inlineStr">
        <is>
          <t>Software support</t>
        </is>
      </c>
      <c r="H218" s="7" t="inlineStr">
        <is>
          <t>Manufacturing</t>
        </is>
      </c>
      <c r="I218" s="7" t="inlineStr">
        <is>
          <t>South</t>
        </is>
      </c>
      <c r="J218" s="7" t="n">
        <v>96</v>
      </c>
      <c r="K218" s="7" t="n">
        <v>128.44</v>
      </c>
      <c r="L218" s="7" t="n">
        <v>12329.9</v>
      </c>
      <c r="M218" s="7" t="inlineStr">
        <is>
          <t>Pending</t>
        </is>
      </c>
      <c r="N218" s="7">
        <f>IF(OR(E218="Apex Office Supplies",E218="Apex Office Supply Ltd"),"Apex Office Supplies",IF(OR(E218="Northstar IT Services",E218="North Star IT Svc"),"Northstar IT Services",IF(OR(E218="Metro Logistics",E218="Metro Logistics Pvt Ltd"),"Metro Logistics",E218)))</f>
        <v/>
      </c>
      <c r="O218" s="7">
        <f>IF(AND(ISNUMBER(L218),L218&gt;0),"Valid","Review")</f>
        <v/>
      </c>
      <c r="P218" s="7">
        <f>IF(OR(E218="",F218="",NOT(ISNUMBER(L218))),"Check Missing/Invalid Data","OK")</f>
        <v/>
      </c>
    </row>
    <row r="219">
      <c r="A219" s="7" t="inlineStr">
        <is>
          <t>PO-00556</t>
        </is>
      </c>
      <c r="B219" s="9" t="n">
        <v>45792</v>
      </c>
      <c r="C219" s="7" t="inlineStr">
        <is>
          <t>Invoice</t>
        </is>
      </c>
      <c r="D219" s="7" t="inlineStr">
        <is>
          <t>SUP010</t>
        </is>
      </c>
      <c r="E219" s="7">
        <f>IF(E219="","Unknown Supplier",TRIM(E219))</f>
        <v/>
      </c>
      <c r="F219" s="7">
        <f>IF(F219="","Unclassified",TRIM(F219))</f>
        <v/>
      </c>
      <c r="G219" s="7" t="inlineStr">
        <is>
          <t>Water services</t>
        </is>
      </c>
      <c r="H219" s="7" t="inlineStr">
        <is>
          <t>Operations</t>
        </is>
      </c>
      <c r="I219" s="7" t="inlineStr">
        <is>
          <t>South</t>
        </is>
      </c>
      <c r="J219" s="7" t="n">
        <v>114</v>
      </c>
      <c r="K219" s="7" t="n">
        <v>103.76</v>
      </c>
      <c r="L219" s="7" t="n">
        <v>11828.41</v>
      </c>
      <c r="M219" s="7" t="inlineStr">
        <is>
          <t>Overdue</t>
        </is>
      </c>
      <c r="N219" s="7">
        <f>IF(OR(E219="Apex Office Supplies",E219="Apex Office Supply Ltd"),"Apex Office Supplies",IF(OR(E219="Northstar IT Services",E219="North Star IT Svc"),"Northstar IT Services",IF(OR(E219="Metro Logistics",E219="Metro Logistics Pvt Ltd"),"Metro Logistics",E219)))</f>
        <v/>
      </c>
      <c r="O219" s="7">
        <f>IF(AND(ISNUMBER(L219),L219&gt;0),"Valid","Review")</f>
        <v/>
      </c>
      <c r="P219" s="7">
        <f>IF(OR(E219="",F219="",NOT(ISNUMBER(L219))),"Check Missing/Invalid Data","OK")</f>
        <v/>
      </c>
    </row>
    <row r="220">
      <c r="A220" s="7" t="inlineStr">
        <is>
          <t>PO-00564</t>
        </is>
      </c>
      <c r="B220" s="9" t="n">
        <v>45792</v>
      </c>
      <c r="C220" s="7" t="inlineStr">
        <is>
          <t>Goods Receipt</t>
        </is>
      </c>
      <c r="D220" s="7" t="inlineStr">
        <is>
          <t>SUP002</t>
        </is>
      </c>
      <c r="E220" s="7">
        <f>IF(E220="","Unknown Supplier",TRIM(E220))</f>
        <v/>
      </c>
      <c r="F220" s="7">
        <f>IF(F220="","Unclassified",TRIM(F220))</f>
        <v/>
      </c>
      <c r="G220" s="7" t="inlineStr">
        <is>
          <t>Toner cartridges</t>
        </is>
      </c>
      <c r="H220" s="7" t="inlineStr">
        <is>
          <t>Technology</t>
        </is>
      </c>
      <c r="I220" s="7" t="inlineStr">
        <is>
          <t>East</t>
        </is>
      </c>
      <c r="J220" s="7" t="n">
        <v>98</v>
      </c>
      <c r="K220" s="7" t="n">
        <v>44.93</v>
      </c>
      <c r="L220" s="7" t="n">
        <v>4403.37</v>
      </c>
      <c r="M220" s="7" t="inlineStr">
        <is>
          <t>Overdue</t>
        </is>
      </c>
      <c r="N220" s="7">
        <f>IF(OR(E220="Apex Office Supplies",E220="Apex Office Supply Ltd"),"Apex Office Supplies",IF(OR(E220="Northstar IT Services",E220="North Star IT Svc"),"Northstar IT Services",IF(OR(E220="Metro Logistics",E220="Metro Logistics Pvt Ltd"),"Metro Logistics",E220)))</f>
        <v/>
      </c>
      <c r="O220" s="7">
        <f>IF(AND(ISNUMBER(L220),L220&gt;0),"Valid","Review")</f>
        <v/>
      </c>
      <c r="P220" s="7">
        <f>IF(OR(E220="",F220="",NOT(ISNUMBER(L220))),"Check Missing/Invalid Data","OK")</f>
        <v/>
      </c>
    </row>
    <row r="221">
      <c r="A221" s="7" t="inlineStr">
        <is>
          <t>PO-00005</t>
        </is>
      </c>
      <c r="B221" s="9" t="n">
        <v>45793</v>
      </c>
      <c r="C221" s="7" t="inlineStr">
        <is>
          <t>Invoice</t>
        </is>
      </c>
      <c r="D221" s="7" t="inlineStr">
        <is>
          <t>SUP001</t>
        </is>
      </c>
      <c r="E221" s="7">
        <f>IF(E221="","Unknown Supplier",TRIM(E221))</f>
        <v/>
      </c>
      <c r="F221" s="7">
        <f>IF(F221="","Unclassified",TRIM(F221))</f>
        <v/>
      </c>
      <c r="G221" s="7" t="inlineStr">
        <is>
          <t>Printer paper</t>
        </is>
      </c>
      <c r="H221" s="7" t="inlineStr">
        <is>
          <t>Manufacturing</t>
        </is>
      </c>
      <c r="I221" s="7" t="inlineStr">
        <is>
          <t>East</t>
        </is>
      </c>
      <c r="J221" s="7" t="n">
        <v>119</v>
      </c>
      <c r="K221" s="7" t="n">
        <v>81.58</v>
      </c>
      <c r="L221" s="7" t="n">
        <v>9707.76</v>
      </c>
      <c r="M221" s="7" t="inlineStr">
        <is>
          <t>Overdue</t>
        </is>
      </c>
      <c r="N221" s="7">
        <f>IF(OR(E221="Apex Office Supplies",E221="Apex Office Supply Ltd"),"Apex Office Supplies",IF(OR(E221="Northstar IT Services",E221="North Star IT Svc"),"Northstar IT Services",IF(OR(E221="Metro Logistics",E221="Metro Logistics Pvt Ltd"),"Metro Logistics",E221)))</f>
        <v/>
      </c>
      <c r="O221" s="7">
        <f>IF(AND(ISNUMBER(L221),L221&gt;0),"Valid","Review")</f>
        <v/>
      </c>
      <c r="P221" s="7">
        <f>IF(OR(E221="",F221="",NOT(ISNUMBER(L221))),"Check Missing/Invalid Data","OK")</f>
        <v/>
      </c>
    </row>
    <row r="222">
      <c r="A222" s="7" t="inlineStr">
        <is>
          <t>PO-00108</t>
        </is>
      </c>
      <c r="B222" s="9" t="n">
        <v>45793</v>
      </c>
      <c r="C222" s="7" t="inlineStr">
        <is>
          <t>Invoice</t>
        </is>
      </c>
      <c r="D222" s="7" t="inlineStr">
        <is>
          <t>SUP006</t>
        </is>
      </c>
      <c r="E222" s="7">
        <f>IF(E222="","Unknown Supplier",TRIM(E222))</f>
        <v/>
      </c>
      <c r="F222" s="7">
        <f>IF(F222="","Unclassified",TRIM(F222))</f>
        <v/>
      </c>
      <c r="G222" s="7" t="inlineStr">
        <is>
          <t>Warehouse handling</t>
        </is>
      </c>
      <c r="H222" s="7" t="inlineStr">
        <is>
          <t>Manufacturing</t>
        </is>
      </c>
      <c r="I222" s="7" t="inlineStr">
        <is>
          <t>West</t>
        </is>
      </c>
      <c r="J222" s="7" t="n">
        <v>11</v>
      </c>
      <c r="K222" s="7" t="n">
        <v>1116.9</v>
      </c>
      <c r="L222" s="7" t="n">
        <v>12285.9</v>
      </c>
      <c r="M222" s="7" t="inlineStr">
        <is>
          <t>Pending</t>
        </is>
      </c>
      <c r="N222" s="7">
        <f>IF(OR(E222="Apex Office Supplies",E222="Apex Office Supply Ltd"),"Apex Office Supplies",IF(OR(E222="Northstar IT Services",E222="North Star IT Svc"),"Northstar IT Services",IF(OR(E222="Metro Logistics",E222="Metro Logistics Pvt Ltd"),"Metro Logistics",E222)))</f>
        <v/>
      </c>
      <c r="O222" s="7">
        <f>IF(AND(ISNUMBER(L222),L222&gt;0),"Valid","Review")</f>
        <v/>
      </c>
      <c r="P222" s="7">
        <f>IF(OR(E222="",F222="",NOT(ISNUMBER(L222))),"Check Missing/Invalid Data","OK")</f>
        <v/>
      </c>
    </row>
    <row r="223">
      <c r="A223" s="7" t="inlineStr">
        <is>
          <t>PO-00123</t>
        </is>
      </c>
      <c r="B223" s="9" t="n">
        <v>45793</v>
      </c>
      <c r="C223" s="7" t="inlineStr">
        <is>
          <t>Goods Receipt</t>
        </is>
      </c>
      <c r="D223" s="7" t="inlineStr">
        <is>
          <t>SUP009</t>
        </is>
      </c>
      <c r="E223" s="7">
        <f>IF(E223="","Unknown Supplier",TRIM(E223))</f>
        <v/>
      </c>
      <c r="F223" s="7">
        <f>IF(F223="","Unclassified",TRIM(F223))</f>
        <v/>
      </c>
      <c r="G223" s="7" t="inlineStr">
        <is>
          <t>Training services</t>
        </is>
      </c>
      <c r="H223" s="7" t="inlineStr">
        <is>
          <t>Manufacturing</t>
        </is>
      </c>
      <c r="I223" s="7" t="inlineStr">
        <is>
          <t>West</t>
        </is>
      </c>
      <c r="J223" s="7" t="n">
        <v>96</v>
      </c>
      <c r="K223" s="7" t="n">
        <v>118.83</v>
      </c>
      <c r="L223" s="7" t="n">
        <v>11407.53</v>
      </c>
      <c r="M223" s="7" t="inlineStr">
        <is>
          <t>Overdue</t>
        </is>
      </c>
      <c r="N223" s="7">
        <f>IF(OR(E223="Apex Office Supplies",E223="Apex Office Supply Ltd"),"Apex Office Supplies",IF(OR(E223="Northstar IT Services",E223="North Star IT Svc"),"Northstar IT Services",IF(OR(E223="Metro Logistics",E223="Metro Logistics Pvt Ltd"),"Metro Logistics",E223)))</f>
        <v/>
      </c>
      <c r="O223" s="7">
        <f>IF(AND(ISNUMBER(L223),L223&gt;0),"Valid","Review")</f>
        <v/>
      </c>
      <c r="P223" s="7">
        <f>IF(OR(E223="",F223="",NOT(ISNUMBER(L223))),"Check Missing/Invalid Data","OK")</f>
        <v/>
      </c>
    </row>
    <row r="224">
      <c r="A224" s="7" t="inlineStr">
        <is>
          <t>PO-00134</t>
        </is>
      </c>
      <c r="B224" s="9" t="n">
        <v>45793</v>
      </c>
      <c r="C224" s="7" t="inlineStr">
        <is>
          <t>Goods Receipt</t>
        </is>
      </c>
      <c r="D224" s="7" t="inlineStr">
        <is>
          <t>SUP001</t>
        </is>
      </c>
      <c r="E224" s="7">
        <f>IF(E224="","Unknown Supplier",TRIM(E224))</f>
        <v/>
      </c>
      <c r="F224" s="7">
        <f>IF(F224="","Unclassified",TRIM(F224))</f>
        <v/>
      </c>
      <c r="G224" s="7" t="inlineStr">
        <is>
          <t>Printer paper</t>
        </is>
      </c>
      <c r="H224" s="7" t="inlineStr">
        <is>
          <t>Sales</t>
        </is>
      </c>
      <c r="I224" s="7" t="inlineStr">
        <is>
          <t>West</t>
        </is>
      </c>
      <c r="J224" s="7" t="n">
        <v>15</v>
      </c>
      <c r="K224" s="7" t="n">
        <v>509.78</v>
      </c>
      <c r="L224" s="7" t="n">
        <v>7646.77</v>
      </c>
      <c r="M224" s="7" t="inlineStr">
        <is>
          <t>Pending</t>
        </is>
      </c>
      <c r="N224" s="7">
        <f>IF(OR(E224="Apex Office Supplies",E224="Apex Office Supply Ltd"),"Apex Office Supplies",IF(OR(E224="Northstar IT Services",E224="North Star IT Svc"),"Northstar IT Services",IF(OR(E224="Metro Logistics",E224="Metro Logistics Pvt Ltd"),"Metro Logistics",E224)))</f>
        <v/>
      </c>
      <c r="O224" s="7">
        <f>IF(AND(ISNUMBER(L224),L224&gt;0),"Valid","Review")</f>
        <v/>
      </c>
      <c r="P224" s="7">
        <f>IF(OR(E224="",F224="",NOT(ISNUMBER(L224))),"Check Missing/Invalid Data","OK")</f>
        <v/>
      </c>
    </row>
    <row r="225">
      <c r="A225" s="7" t="inlineStr">
        <is>
          <t>PO-00103</t>
        </is>
      </c>
      <c r="B225" s="9" t="n">
        <v>45794</v>
      </c>
      <c r="C225" s="7" t="inlineStr">
        <is>
          <t>Goods Receipt</t>
        </is>
      </c>
      <c r="D225" s="7" t="inlineStr">
        <is>
          <t>SUP001</t>
        </is>
      </c>
      <c r="E225" s="7">
        <f>IF(E225="","Unknown Supplier",TRIM(E225))</f>
        <v/>
      </c>
      <c r="F225" s="7">
        <f>IF(F225="","Unclassified",TRIM(F225))</f>
        <v/>
      </c>
      <c r="G225" s="7" t="inlineStr">
        <is>
          <t>Toner cartridges</t>
        </is>
      </c>
      <c r="H225" s="7" t="inlineStr">
        <is>
          <t>Sales</t>
        </is>
      </c>
      <c r="I225" s="7" t="inlineStr">
        <is>
          <t>South</t>
        </is>
      </c>
      <c r="J225" s="7" t="n">
        <v>76</v>
      </c>
      <c r="K225" s="7" t="n">
        <v>71.81999999999999</v>
      </c>
      <c r="L225" s="7" t="n">
        <v>5458.18</v>
      </c>
      <c r="M225" s="7" t="inlineStr">
        <is>
          <t>Pending</t>
        </is>
      </c>
      <c r="N225" s="7">
        <f>IF(OR(E225="Apex Office Supplies",E225="Apex Office Supply Ltd"),"Apex Office Supplies",IF(OR(E225="Northstar IT Services",E225="North Star IT Svc"),"Northstar IT Services",IF(OR(E225="Metro Logistics",E225="Metro Logistics Pvt Ltd"),"Metro Logistics",E225)))</f>
        <v/>
      </c>
      <c r="O225" s="7">
        <f>IF(AND(ISNUMBER(L225),L225&gt;0),"Valid","Review")</f>
        <v/>
      </c>
      <c r="P225" s="7">
        <f>IF(OR(E225="",F225="",NOT(ISNUMBER(L225))),"Check Missing/Invalid Data","OK")</f>
        <v/>
      </c>
    </row>
    <row r="226">
      <c r="A226" s="7" t="inlineStr">
        <is>
          <t>PO-00008</t>
        </is>
      </c>
      <c r="B226" s="9" t="n">
        <v>45794</v>
      </c>
      <c r="C226" s="7" t="inlineStr">
        <is>
          <t>Goods Receipt</t>
        </is>
      </c>
      <c r="D226" s="7" t="inlineStr">
        <is>
          <t>SUP012</t>
        </is>
      </c>
      <c r="E226" s="7">
        <f>IF(E226="","Unknown Supplier",TRIM(E226))</f>
        <v/>
      </c>
      <c r="F226" s="7">
        <f>IF(F226="","Unclassified",TRIM(F226))</f>
        <v/>
      </c>
      <c r="G226" s="7" t="inlineStr">
        <is>
          <t>Repair parts</t>
        </is>
      </c>
      <c r="H226" s="7" t="inlineStr">
        <is>
          <t>Manufacturing</t>
        </is>
      </c>
      <c r="I226" s="7" t="inlineStr">
        <is>
          <t>South</t>
        </is>
      </c>
      <c r="J226" s="7" t="n">
        <v>78</v>
      </c>
      <c r="K226" s="7" t="n">
        <v>150.09</v>
      </c>
      <c r="L226" s="7" t="n">
        <v>11706.87</v>
      </c>
      <c r="M226" s="7" t="inlineStr">
        <is>
          <t>Paid</t>
        </is>
      </c>
      <c r="N226" s="7">
        <f>IF(OR(E226="Apex Office Supplies",E226="Apex Office Supply Ltd"),"Apex Office Supplies",IF(OR(E226="Northstar IT Services",E226="North Star IT Svc"),"Northstar IT Services",IF(OR(E226="Metro Logistics",E226="Metro Logistics Pvt Ltd"),"Metro Logistics",E226)))</f>
        <v/>
      </c>
      <c r="O226" s="7">
        <f>IF(AND(ISNUMBER(L226),L226&gt;0),"Valid","Review")</f>
        <v/>
      </c>
      <c r="P226" s="7">
        <f>IF(OR(E226="",F226="",NOT(ISNUMBER(L226))),"Check Missing/Invalid Data","OK")</f>
        <v/>
      </c>
    </row>
    <row r="227">
      <c r="A227" s="7" t="inlineStr">
        <is>
          <t>PO-00346</t>
        </is>
      </c>
      <c r="B227" s="9" t="n">
        <v>45795</v>
      </c>
      <c r="C227" s="7" t="inlineStr">
        <is>
          <t>Invoice</t>
        </is>
      </c>
      <c r="D227" s="7" t="inlineStr">
        <is>
          <t>SUP012</t>
        </is>
      </c>
      <c r="E227" s="7">
        <f>IF(E227="","Unknown Supplier",TRIM(E227))</f>
        <v/>
      </c>
      <c r="F227" s="7">
        <f>IF(F227="","Unclassified",TRIM(F227))</f>
        <v/>
      </c>
      <c r="G227" s="7" t="inlineStr">
        <is>
          <t>Equipment servicing</t>
        </is>
      </c>
      <c r="H227" s="7" t="inlineStr">
        <is>
          <t>Technology</t>
        </is>
      </c>
      <c r="I227" s="7" t="inlineStr">
        <is>
          <t>North</t>
        </is>
      </c>
      <c r="J227" s="7" t="n">
        <v>4</v>
      </c>
      <c r="K227" s="7" t="n">
        <v>3478.29</v>
      </c>
      <c r="L227" s="7" t="n">
        <v>13913.17</v>
      </c>
      <c r="M227" s="7" t="inlineStr">
        <is>
          <t>Pending</t>
        </is>
      </c>
      <c r="N227" s="7">
        <f>IF(OR(E227="Apex Office Supplies",E227="Apex Office Supply Ltd"),"Apex Office Supplies",IF(OR(E227="Northstar IT Services",E227="North Star IT Svc"),"Northstar IT Services",IF(OR(E227="Metro Logistics",E227="Metro Logistics Pvt Ltd"),"Metro Logistics",E227)))</f>
        <v/>
      </c>
      <c r="O227" s="7">
        <f>IF(AND(ISNUMBER(L227),L227&gt;0),"Valid","Review")</f>
        <v/>
      </c>
      <c r="P227" s="7">
        <f>IF(OR(E227="",F227="",NOT(ISNUMBER(L227))),"Check Missing/Invalid Data","OK")</f>
        <v/>
      </c>
    </row>
    <row r="228">
      <c r="A228" s="7" t="inlineStr">
        <is>
          <t>PO-00406</t>
        </is>
      </c>
      <c r="B228" s="9" t="n">
        <v>45795</v>
      </c>
      <c r="C228" s="7" t="inlineStr">
        <is>
          <t>Invoice</t>
        </is>
      </c>
      <c r="D228" s="7" t="inlineStr">
        <is>
          <t>SUP012</t>
        </is>
      </c>
      <c r="E228" s="7">
        <f>IF(E228="","Unknown Supplier",TRIM(E228))</f>
        <v/>
      </c>
      <c r="F228" s="7">
        <f>IF(F228="","Unclassified",TRIM(F228))</f>
        <v/>
      </c>
      <c r="G228" s="7" t="inlineStr">
        <is>
          <t>Repair parts</t>
        </is>
      </c>
      <c r="H228" s="7" t="inlineStr">
        <is>
          <t>Sales</t>
        </is>
      </c>
      <c r="I228" s="7" t="inlineStr">
        <is>
          <t>West</t>
        </is>
      </c>
      <c r="J228" s="7" t="n">
        <v>25</v>
      </c>
      <c r="K228" s="7" t="n">
        <v>466.5</v>
      </c>
      <c r="L228" s="7" t="n">
        <v>11662.52</v>
      </c>
      <c r="M228" s="7" t="inlineStr">
        <is>
          <t>Overdue</t>
        </is>
      </c>
      <c r="N228" s="7">
        <f>IF(OR(E228="Apex Office Supplies",E228="Apex Office Supply Ltd"),"Apex Office Supplies",IF(OR(E228="Northstar IT Services",E228="North Star IT Svc"),"Northstar IT Services",IF(OR(E228="Metro Logistics",E228="Metro Logistics Pvt Ltd"),"Metro Logistics",E228)))</f>
        <v/>
      </c>
      <c r="O228" s="7">
        <f>IF(AND(ISNUMBER(L228),L228&gt;0),"Valid","Review")</f>
        <v/>
      </c>
      <c r="P228" s="7">
        <f>IF(OR(E228="",F228="",NOT(ISNUMBER(L228))),"Check Missing/Invalid Data","OK")</f>
        <v/>
      </c>
    </row>
    <row r="229">
      <c r="A229" s="7" t="inlineStr">
        <is>
          <t>PO-00359</t>
        </is>
      </c>
      <c r="B229" s="9" t="n">
        <v>45797</v>
      </c>
      <c r="C229" s="7" t="inlineStr">
        <is>
          <t>Goods Receipt</t>
        </is>
      </c>
      <c r="D229" s="7" t="inlineStr">
        <is>
          <t>SUP004</t>
        </is>
      </c>
      <c r="E229" s="7">
        <f>IF(E229="","Unknown Supplier",TRIM(E229))</f>
        <v/>
      </c>
      <c r="F229" s="7">
        <f>IF(F229="","Unclassified",TRIM(F229))</f>
        <v/>
      </c>
      <c r="G229" s="7" t="inlineStr">
        <is>
          <t>Software support</t>
        </is>
      </c>
      <c r="H229" s="7" t="inlineStr">
        <is>
          <t>Operations</t>
        </is>
      </c>
      <c r="I229" s="7" t="inlineStr">
        <is>
          <t>North</t>
        </is>
      </c>
      <c r="J229" s="7" t="n">
        <v>100</v>
      </c>
      <c r="K229" s="7" t="n">
        <v>63.66</v>
      </c>
      <c r="L229" s="7" t="n">
        <v>6365.65</v>
      </c>
      <c r="M229" s="7" t="inlineStr">
        <is>
          <t>Paid</t>
        </is>
      </c>
      <c r="N229" s="7">
        <f>IF(OR(E229="Apex Office Supplies",E229="Apex Office Supply Ltd"),"Apex Office Supplies",IF(OR(E229="Northstar IT Services",E229="North Star IT Svc"),"Northstar IT Services",IF(OR(E229="Metro Logistics",E229="Metro Logistics Pvt Ltd"),"Metro Logistics",E229)))</f>
        <v/>
      </c>
      <c r="O229" s="7">
        <f>IF(AND(ISNUMBER(L229),L229&gt;0),"Valid","Review")</f>
        <v/>
      </c>
      <c r="P229" s="7">
        <f>IF(OR(E229="",F229="",NOT(ISNUMBER(L229))),"Check Missing/Invalid Data","OK")</f>
        <v/>
      </c>
    </row>
    <row r="230">
      <c r="A230" s="7" t="inlineStr">
        <is>
          <t>PO-00427</t>
        </is>
      </c>
      <c r="B230" s="9" t="n">
        <v>45798</v>
      </c>
      <c r="C230" s="7" t="inlineStr">
        <is>
          <t>Purchase Order</t>
        </is>
      </c>
      <c r="D230" s="7" t="inlineStr">
        <is>
          <t>SUP004</t>
        </is>
      </c>
      <c r="E230" s="7">
        <f>IF(E230="","Unknown Supplier",TRIM(E230))</f>
        <v/>
      </c>
      <c r="F230" s="7">
        <f>IF(F230="","Unclassified",TRIM(F230))</f>
        <v/>
      </c>
      <c r="G230" s="7" t="inlineStr">
        <is>
          <t>Cloud services</t>
        </is>
      </c>
      <c r="H230" s="7" t="inlineStr">
        <is>
          <t>Corporate</t>
        </is>
      </c>
      <c r="I230" s="7" t="inlineStr">
        <is>
          <t>South</t>
        </is>
      </c>
      <c r="J230" s="7" t="n">
        <v>98</v>
      </c>
      <c r="K230" s="7" t="n">
        <v>54.38</v>
      </c>
      <c r="L230" s="7" t="n">
        <v>5328.94</v>
      </c>
      <c r="M230" s="7" t="inlineStr">
        <is>
          <t>Overdue</t>
        </is>
      </c>
      <c r="N230" s="7">
        <f>IF(OR(E230="Apex Office Supplies",E230="Apex Office Supply Ltd"),"Apex Office Supplies",IF(OR(E230="Northstar IT Services",E230="North Star IT Svc"),"Northstar IT Services",IF(OR(E230="Metro Logistics",E230="Metro Logistics Pvt Ltd"),"Metro Logistics",E230)))</f>
        <v/>
      </c>
      <c r="O230" s="7">
        <f>IF(AND(ISNUMBER(L230),L230&gt;0),"Valid","Review")</f>
        <v/>
      </c>
      <c r="P230" s="7">
        <f>IF(OR(E230="",F230="",NOT(ISNUMBER(L230))),"Check Missing/Invalid Data","OK")</f>
        <v/>
      </c>
    </row>
    <row r="231">
      <c r="A231" s="7" t="inlineStr">
        <is>
          <t>PO-00336</t>
        </is>
      </c>
      <c r="B231" s="9" t="n">
        <v>45799</v>
      </c>
      <c r="C231" s="7" t="inlineStr">
        <is>
          <t>Goods Receipt</t>
        </is>
      </c>
      <c r="D231" s="7" t="inlineStr">
        <is>
          <t>SUP011</t>
        </is>
      </c>
      <c r="E231" s="7">
        <f>IF(E231="","Unknown Supplier",TRIM(E231))</f>
        <v/>
      </c>
      <c r="F231" s="7">
        <f>IF(F231="","Unclassified",TRIM(F231))</f>
        <v/>
      </c>
      <c r="G231" s="7" t="inlineStr">
        <is>
          <t>Promotional materials</t>
        </is>
      </c>
      <c r="H231" s="7" t="inlineStr">
        <is>
          <t>Technology</t>
        </is>
      </c>
      <c r="I231" s="7" t="inlineStr">
        <is>
          <t>North</t>
        </is>
      </c>
      <c r="J231" s="7" t="n">
        <v>77</v>
      </c>
      <c r="K231" s="7" t="n">
        <v>130.06</v>
      </c>
      <c r="L231" s="7" t="n">
        <v>10014.73</v>
      </c>
      <c r="M231" s="7" t="inlineStr">
        <is>
          <t>Overdue</t>
        </is>
      </c>
      <c r="N231" s="7">
        <f>IF(OR(E231="Apex Office Supplies",E231="Apex Office Supply Ltd"),"Apex Office Supplies",IF(OR(E231="Northstar IT Services",E231="North Star IT Svc"),"Northstar IT Services",IF(OR(E231="Metro Logistics",E231="Metro Logistics Pvt Ltd"),"Metro Logistics",E231)))</f>
        <v/>
      </c>
      <c r="O231" s="7">
        <f>IF(AND(ISNUMBER(L231),L231&gt;0),"Valid","Review")</f>
        <v/>
      </c>
      <c r="P231" s="7">
        <f>IF(OR(E231="",F231="",NOT(ISNUMBER(L231))),"Check Missing/Invalid Data","OK")</f>
        <v/>
      </c>
    </row>
    <row r="232">
      <c r="A232" s="7" t="inlineStr">
        <is>
          <t>PO-00130</t>
        </is>
      </c>
      <c r="B232" s="9" t="n">
        <v>45799</v>
      </c>
      <c r="C232" s="7" t="inlineStr">
        <is>
          <t>Invoice</t>
        </is>
      </c>
      <c r="D232" s="7" t="inlineStr">
        <is>
          <t>SUP004</t>
        </is>
      </c>
      <c r="E232" s="7">
        <f>IF(E232="","Unknown Supplier",TRIM(E232))</f>
        <v/>
      </c>
      <c r="F232" s="7">
        <f>IF(F232="","Unclassified",TRIM(F232))</f>
        <v/>
      </c>
      <c r="G232" s="7" t="inlineStr">
        <is>
          <t>Software support</t>
        </is>
      </c>
      <c r="H232" s="7" t="inlineStr">
        <is>
          <t>Operations</t>
        </is>
      </c>
      <c r="I232" s="7" t="inlineStr">
        <is>
          <t>North</t>
        </is>
      </c>
      <c r="J232" s="7" t="n">
        <v>106</v>
      </c>
      <c r="K232" s="7" t="n">
        <v>274.06</v>
      </c>
      <c r="L232" s="7" t="n">
        <v>29050.13</v>
      </c>
      <c r="M232" s="7" t="inlineStr">
        <is>
          <t>Paid</t>
        </is>
      </c>
      <c r="N232" s="7">
        <f>IF(OR(E232="Apex Office Supplies",E232="Apex Office Supply Ltd"),"Apex Office Supplies",IF(OR(E232="Northstar IT Services",E232="North Star IT Svc"),"Northstar IT Services",IF(OR(E232="Metro Logistics",E232="Metro Logistics Pvt Ltd"),"Metro Logistics",E232)))</f>
        <v/>
      </c>
      <c r="O232" s="7">
        <f>IF(AND(ISNUMBER(L232),L232&gt;0),"Valid","Review")</f>
        <v/>
      </c>
      <c r="P232" s="7">
        <f>IF(OR(E232="",F232="",NOT(ISNUMBER(L232))),"Check Missing/Invalid Data","OK")</f>
        <v/>
      </c>
    </row>
    <row r="233">
      <c r="A233" s="7" t="inlineStr">
        <is>
          <t>PO-00405</t>
        </is>
      </c>
      <c r="B233" s="9" t="n">
        <v>45801</v>
      </c>
      <c r="C233" s="7" t="inlineStr">
        <is>
          <t>Purchase Order</t>
        </is>
      </c>
      <c r="D233" s="7" t="inlineStr">
        <is>
          <t>SUP008</t>
        </is>
      </c>
      <c r="E233" s="7">
        <f>IF(E233="","Unknown Supplier",TRIM(E233))</f>
        <v/>
      </c>
      <c r="F233" s="7">
        <f>IF(F233="","Unclassified",TRIM(F233))</f>
        <v/>
      </c>
      <c r="G233" s="7" t="inlineStr">
        <is>
          <t>Corrugated boxes</t>
        </is>
      </c>
      <c r="H233" s="7" t="inlineStr">
        <is>
          <t>Technology</t>
        </is>
      </c>
      <c r="I233" s="7" t="inlineStr">
        <is>
          <t>West</t>
        </is>
      </c>
      <c r="J233" s="7" t="n">
        <v>112</v>
      </c>
      <c r="K233" s="7" t="n">
        <v>110.4</v>
      </c>
      <c r="L233" s="7" t="n">
        <v>12365.15</v>
      </c>
      <c r="M233" s="7" t="inlineStr">
        <is>
          <t>Pending</t>
        </is>
      </c>
      <c r="N233" s="7">
        <f>IF(OR(E233="Apex Office Supplies",E233="Apex Office Supply Ltd"),"Apex Office Supplies",IF(OR(E233="Northstar IT Services",E233="North Star IT Svc"),"Northstar IT Services",IF(OR(E233="Metro Logistics",E233="Metro Logistics Pvt Ltd"),"Metro Logistics",E233)))</f>
        <v/>
      </c>
      <c r="O233" s="7">
        <f>IF(AND(ISNUMBER(L233),L233&gt;0),"Valid","Review")</f>
        <v/>
      </c>
      <c r="P233" s="7">
        <f>IF(OR(E233="",F233="",NOT(ISNUMBER(L233))),"Check Missing/Invalid Data","OK")</f>
        <v/>
      </c>
    </row>
    <row r="234">
      <c r="A234" s="7" t="inlineStr">
        <is>
          <t>PO-00539</t>
        </is>
      </c>
      <c r="B234" s="9" t="n">
        <v>45801</v>
      </c>
      <c r="C234" s="7" t="inlineStr">
        <is>
          <t>Goods Receipt</t>
        </is>
      </c>
      <c r="D234" s="7" t="inlineStr">
        <is>
          <t>SUP007</t>
        </is>
      </c>
      <c r="E234" s="7">
        <f>IF(E234="","Unknown Supplier",TRIM(E234))</f>
        <v/>
      </c>
      <c r="F234" s="7">
        <f>IF(F234="","Unclassified",TRIM(F234))</f>
        <v/>
      </c>
      <c r="G234" s="7" t="inlineStr">
        <is>
          <t>Facility maintenance</t>
        </is>
      </c>
      <c r="H234" s="7" t="inlineStr">
        <is>
          <t>Sales</t>
        </is>
      </c>
      <c r="I234" s="7" t="inlineStr">
        <is>
          <t>North</t>
        </is>
      </c>
      <c r="J234" s="7" t="n">
        <v>7</v>
      </c>
      <c r="K234" s="7" t="n">
        <v>1490.11</v>
      </c>
      <c r="L234" s="7" t="n">
        <v>10430.77</v>
      </c>
      <c r="M234" s="7" t="inlineStr">
        <is>
          <t>Overdue</t>
        </is>
      </c>
      <c r="N234" s="7">
        <f>IF(OR(E234="Apex Office Supplies",E234="Apex Office Supply Ltd"),"Apex Office Supplies",IF(OR(E234="Northstar IT Services",E234="North Star IT Svc"),"Northstar IT Services",IF(OR(E234="Metro Logistics",E234="Metro Logistics Pvt Ltd"),"Metro Logistics",E234)))</f>
        <v/>
      </c>
      <c r="O234" s="7">
        <f>IF(AND(ISNUMBER(L234),L234&gt;0),"Valid","Review")</f>
        <v/>
      </c>
      <c r="P234" s="7">
        <f>IF(OR(E234="",F234="",NOT(ISNUMBER(L234))),"Check Missing/Invalid Data","OK")</f>
        <v/>
      </c>
    </row>
    <row r="235">
      <c r="A235" s="7" t="inlineStr">
        <is>
          <t>PO-00390</t>
        </is>
      </c>
      <c r="B235" s="9" t="n">
        <v>45802</v>
      </c>
      <c r="C235" s="7" t="inlineStr">
        <is>
          <t>Goods Receipt</t>
        </is>
      </c>
      <c r="D235" s="7" t="inlineStr">
        <is>
          <t>SUP005</t>
        </is>
      </c>
      <c r="E235" s="7">
        <f>IF(E235="","Unknown Supplier",TRIM(E235))</f>
        <v/>
      </c>
      <c r="F235" s="7">
        <f>IF(F235="","Unclassified",TRIM(F235))</f>
        <v/>
      </c>
      <c r="G235" s="7" t="inlineStr">
        <is>
          <t>Courier services</t>
        </is>
      </c>
      <c r="H235" s="7" t="inlineStr">
        <is>
          <t>Operations</t>
        </is>
      </c>
      <c r="I235" s="7" t="inlineStr">
        <is>
          <t>North</t>
        </is>
      </c>
      <c r="J235" s="7" t="n">
        <v>74</v>
      </c>
      <c r="K235" s="7" t="n">
        <v>23.14</v>
      </c>
      <c r="L235" s="7" t="n">
        <v>1712.72</v>
      </c>
      <c r="M235" s="7" t="inlineStr">
        <is>
          <t>Pending</t>
        </is>
      </c>
      <c r="N235" s="7">
        <f>IF(OR(E235="Apex Office Supplies",E235="Apex Office Supply Ltd"),"Apex Office Supplies",IF(OR(E235="Northstar IT Services",E235="North Star IT Svc"),"Northstar IT Services",IF(OR(E235="Metro Logistics",E235="Metro Logistics Pvt Ltd"),"Metro Logistics",E235)))</f>
        <v/>
      </c>
      <c r="O235" s="7">
        <f>IF(AND(ISNUMBER(L235),L235&gt;0),"Valid","Review")</f>
        <v/>
      </c>
      <c r="P235" s="7">
        <f>IF(OR(E235="",F235="",NOT(ISNUMBER(L235))),"Check Missing/Invalid Data","OK")</f>
        <v/>
      </c>
    </row>
    <row r="236">
      <c r="A236" s="7" t="inlineStr">
        <is>
          <t>PO-00582</t>
        </is>
      </c>
      <c r="B236" s="9" t="n">
        <v>45802</v>
      </c>
      <c r="C236" s="7" t="inlineStr">
        <is>
          <t>Goods Receipt</t>
        </is>
      </c>
      <c r="D236" s="7" t="inlineStr">
        <is>
          <t>SUP006</t>
        </is>
      </c>
      <c r="E236" s="7">
        <f>IF(E236="","Unknown Supplier",TRIM(E236))</f>
        <v/>
      </c>
      <c r="F236" s="7">
        <f>IF(F236="","Unclassified",TRIM(F236))</f>
        <v/>
      </c>
      <c r="G236" s="7" t="inlineStr">
        <is>
          <t>Warehouse handling</t>
        </is>
      </c>
      <c r="H236" s="7" t="inlineStr">
        <is>
          <t>Corporate</t>
        </is>
      </c>
      <c r="I236" s="7" t="inlineStr">
        <is>
          <t>North</t>
        </is>
      </c>
      <c r="J236" s="7" t="n">
        <v>13</v>
      </c>
      <c r="K236" s="7" t="n">
        <v>768.63</v>
      </c>
      <c r="L236" s="7" t="n">
        <v>9992.24</v>
      </c>
      <c r="M236" s="7" t="inlineStr">
        <is>
          <t>Paid</t>
        </is>
      </c>
      <c r="N236" s="7">
        <f>IF(OR(E236="Apex Office Supplies",E236="Apex Office Supply Ltd"),"Apex Office Supplies",IF(OR(E236="Northstar IT Services",E236="North Star IT Svc"),"Northstar IT Services",IF(OR(E236="Metro Logistics",E236="Metro Logistics Pvt Ltd"),"Metro Logistics",E236)))</f>
        <v/>
      </c>
      <c r="O236" s="7">
        <f>IF(AND(ISNUMBER(L236),L236&gt;0),"Valid","Review")</f>
        <v/>
      </c>
      <c r="P236" s="7">
        <f>IF(OR(E236="",F236="",NOT(ISNUMBER(L236))),"Check Missing/Invalid Data","OK")</f>
        <v/>
      </c>
    </row>
    <row r="237">
      <c r="A237" s="7" t="inlineStr">
        <is>
          <t>PO-00173</t>
        </is>
      </c>
      <c r="B237" s="9" t="n">
        <v>45802</v>
      </c>
      <c r="C237" s="7" t="inlineStr">
        <is>
          <t>Purchase Order</t>
        </is>
      </c>
      <c r="D237" s="7" t="inlineStr">
        <is>
          <t>SUP007</t>
        </is>
      </c>
      <c r="E237" s="7">
        <f>IF(E237="","Unknown Supplier",TRIM(E237))</f>
        <v/>
      </c>
      <c r="F237" s="7">
        <f>IF(F237="","Unclassified",TRIM(F237))</f>
        <v/>
      </c>
      <c r="G237" s="7" t="inlineStr">
        <is>
          <t>Security services</t>
        </is>
      </c>
      <c r="H237" s="7" t="inlineStr">
        <is>
          <t>Operations</t>
        </is>
      </c>
      <c r="I237" s="7" t="inlineStr">
        <is>
          <t>East</t>
        </is>
      </c>
      <c r="J237" s="7" t="n">
        <v>21</v>
      </c>
      <c r="K237" s="7" t="n">
        <v>362.17</v>
      </c>
      <c r="L237" s="7" t="n">
        <v>7605.66</v>
      </c>
      <c r="M237" s="7" t="inlineStr">
        <is>
          <t>Paid</t>
        </is>
      </c>
      <c r="N237" s="7">
        <f>IF(OR(E237="Apex Office Supplies",E237="Apex Office Supply Ltd"),"Apex Office Supplies",IF(OR(E237="Northstar IT Services",E237="North Star IT Svc"),"Northstar IT Services",IF(OR(E237="Metro Logistics",E237="Metro Logistics Pvt Ltd"),"Metro Logistics",E237)))</f>
        <v/>
      </c>
      <c r="O237" s="7">
        <f>IF(AND(ISNUMBER(L237),L237&gt;0),"Valid","Review")</f>
        <v/>
      </c>
      <c r="P237" s="7">
        <f>IF(OR(E237="",F237="",NOT(ISNUMBER(L237))),"Check Missing/Invalid Data","OK")</f>
        <v/>
      </c>
    </row>
    <row r="238">
      <c r="A238" s="7" t="inlineStr">
        <is>
          <t>PO-00557</t>
        </is>
      </c>
      <c r="B238" s="9" t="n">
        <v>45803</v>
      </c>
      <c r="C238" s="7" t="inlineStr">
        <is>
          <t>Purchase Order</t>
        </is>
      </c>
      <c r="D238" s="7" t="inlineStr">
        <is>
          <t>SUP008</t>
        </is>
      </c>
      <c r="E238" s="7">
        <f>IF(E238="","Unknown Supplier",TRIM(E238))</f>
        <v/>
      </c>
      <c r="F238" s="7">
        <f>IF(F238="","Unclassified",TRIM(F238))</f>
        <v/>
      </c>
      <c r="G238" s="7" t="inlineStr">
        <is>
          <t>Corrugated boxes</t>
        </is>
      </c>
      <c r="H238" s="7" t="inlineStr">
        <is>
          <t>Corporate</t>
        </is>
      </c>
      <c r="I238" s="7" t="inlineStr">
        <is>
          <t>East</t>
        </is>
      </c>
      <c r="J238" s="7" t="n">
        <v>108</v>
      </c>
      <c r="K238" s="7" t="n">
        <v>22.84</v>
      </c>
      <c r="L238" s="7" t="n">
        <v>2467.23</v>
      </c>
      <c r="M238" s="7" t="inlineStr">
        <is>
          <t>Pending</t>
        </is>
      </c>
      <c r="N238" s="7">
        <f>IF(OR(E238="Apex Office Supplies",E238="Apex Office Supply Ltd"),"Apex Office Supplies",IF(OR(E238="Northstar IT Services",E238="North Star IT Svc"),"Northstar IT Services",IF(OR(E238="Metro Logistics",E238="Metro Logistics Pvt Ltd"),"Metro Logistics",E238)))</f>
        <v/>
      </c>
      <c r="O238" s="7">
        <f>IF(AND(ISNUMBER(L238),L238&gt;0),"Valid","Review")</f>
        <v/>
      </c>
      <c r="P238" s="7">
        <f>IF(OR(E238="",F238="",NOT(ISNUMBER(L238))),"Check Missing/Invalid Data","OK")</f>
        <v/>
      </c>
    </row>
    <row r="239">
      <c r="A239" s="7" t="inlineStr">
        <is>
          <t>PO-00233</t>
        </is>
      </c>
      <c r="B239" s="9" t="n">
        <v>45804</v>
      </c>
      <c r="C239" s="7" t="inlineStr">
        <is>
          <t>Goods Receipt</t>
        </is>
      </c>
      <c r="D239" s="7" t="inlineStr">
        <is>
          <t>SUP011</t>
        </is>
      </c>
      <c r="E239" s="7">
        <f>IF(E239="","Unknown Supplier",TRIM(E239))</f>
        <v/>
      </c>
      <c r="F239" s="7">
        <f>IF(F239="","Unclassified",TRIM(F239))</f>
        <v/>
      </c>
      <c r="G239" s="7" t="inlineStr">
        <is>
          <t>IT consulting</t>
        </is>
      </c>
      <c r="H239" s="7" t="inlineStr">
        <is>
          <t>Corporate</t>
        </is>
      </c>
      <c r="I239" s="7" t="inlineStr">
        <is>
          <t>South</t>
        </is>
      </c>
      <c r="J239" s="7" t="n">
        <v>30</v>
      </c>
      <c r="K239" s="7" t="n">
        <v>667.71</v>
      </c>
      <c r="L239" s="7" t="n">
        <v>20031.27</v>
      </c>
      <c r="M239" s="7" t="inlineStr">
        <is>
          <t>Pending</t>
        </is>
      </c>
      <c r="N239" s="7">
        <f>IF(OR(E239="Apex Office Supplies",E239="Apex Office Supply Ltd"),"Apex Office Supplies",IF(OR(E239="Northstar IT Services",E239="North Star IT Svc"),"Northstar IT Services",IF(OR(E239="Metro Logistics",E239="Metro Logistics Pvt Ltd"),"Metro Logistics",E239)))</f>
        <v/>
      </c>
      <c r="O239" s="7">
        <f>IF(AND(ISNUMBER(L239),L239&gt;0),"Valid","Review")</f>
        <v/>
      </c>
      <c r="P239" s="7">
        <f>IF(OR(E239="",F239="",NOT(ISNUMBER(L239))),"Check Missing/Invalid Data","OK")</f>
        <v/>
      </c>
    </row>
    <row r="240">
      <c r="A240" s="7" t="inlineStr">
        <is>
          <t>PO-00467</t>
        </is>
      </c>
      <c r="B240" s="9" t="n">
        <v>45804</v>
      </c>
      <c r="C240" s="7" t="inlineStr">
        <is>
          <t>Invoice</t>
        </is>
      </c>
      <c r="D240" s="7" t="inlineStr">
        <is>
          <t>SUP011</t>
        </is>
      </c>
      <c r="E240" s="7">
        <f>IF(E240="","Unknown Supplier",TRIM(E240))</f>
        <v/>
      </c>
      <c r="F240" s="7">
        <f>IF(F240="","Unclassified",TRIM(F240))</f>
        <v/>
      </c>
      <c r="G240" s="7" t="inlineStr">
        <is>
          <t>Digital campaign</t>
        </is>
      </c>
      <c r="H240" s="7" t="inlineStr">
        <is>
          <t>Manufacturing</t>
        </is>
      </c>
      <c r="I240" s="7" t="inlineStr">
        <is>
          <t>North</t>
        </is>
      </c>
      <c r="J240" s="7" t="n">
        <v>89</v>
      </c>
      <c r="K240" s="7" t="n">
        <v>169.98</v>
      </c>
      <c r="L240" s="7" t="n">
        <v>15128.15</v>
      </c>
      <c r="M240" s="7" t="inlineStr">
        <is>
          <t>Pending</t>
        </is>
      </c>
      <c r="N240" s="7">
        <f>IF(OR(E240="Apex Office Supplies",E240="Apex Office Supply Ltd"),"Apex Office Supplies",IF(OR(E240="Northstar IT Services",E240="North Star IT Svc"),"Northstar IT Services",IF(OR(E240="Metro Logistics",E240="Metro Logistics Pvt Ltd"),"Metro Logistics",E240)))</f>
        <v/>
      </c>
      <c r="O240" s="7">
        <f>IF(AND(ISNUMBER(L240),L240&gt;0),"Valid","Review")</f>
        <v/>
      </c>
      <c r="P240" s="7">
        <f>IF(OR(E240="",F240="",NOT(ISNUMBER(L240))),"Check Missing/Invalid Data","OK")</f>
        <v/>
      </c>
    </row>
    <row r="241">
      <c r="A241" s="7" t="inlineStr">
        <is>
          <t>PO-00179</t>
        </is>
      </c>
      <c r="B241" s="9" t="n">
        <v>45805</v>
      </c>
      <c r="C241" s="7" t="inlineStr">
        <is>
          <t>Goods Receipt</t>
        </is>
      </c>
      <c r="D241" s="7" t="inlineStr">
        <is>
          <t>SUP004</t>
        </is>
      </c>
      <c r="E241" s="7">
        <f>IF(E241="","Unknown Supplier",TRIM(E241))</f>
        <v/>
      </c>
      <c r="F241" s="7">
        <f>IF(F241="","Unclassified",TRIM(F241))</f>
        <v/>
      </c>
      <c r="G241" s="7" t="inlineStr">
        <is>
          <t>IT consulting</t>
        </is>
      </c>
      <c r="H241" s="7" t="inlineStr">
        <is>
          <t>Sales</t>
        </is>
      </c>
      <c r="I241" s="7" t="inlineStr">
        <is>
          <t>North</t>
        </is>
      </c>
      <c r="J241" s="7" t="n">
        <v>54</v>
      </c>
      <c r="K241" s="7" t="n">
        <v>30.66</v>
      </c>
      <c r="L241" s="7" t="n">
        <v>1655.39</v>
      </c>
      <c r="M241" s="7" t="inlineStr">
        <is>
          <t>Paid</t>
        </is>
      </c>
      <c r="N241" s="7">
        <f>IF(OR(E241="Apex Office Supplies",E241="Apex Office Supply Ltd"),"Apex Office Supplies",IF(OR(E241="Northstar IT Services",E241="North Star IT Svc"),"Northstar IT Services",IF(OR(E241="Metro Logistics",E241="Metro Logistics Pvt Ltd"),"Metro Logistics",E241)))</f>
        <v/>
      </c>
      <c r="O241" s="7">
        <f>IF(AND(ISNUMBER(L241),L241&gt;0),"Valid","Review")</f>
        <v/>
      </c>
      <c r="P241" s="7">
        <f>IF(OR(E241="",F241="",NOT(ISNUMBER(L241))),"Check Missing/Invalid Data","OK")</f>
        <v/>
      </c>
    </row>
    <row r="242">
      <c r="A242" s="7" t="inlineStr">
        <is>
          <t>PO-00082</t>
        </is>
      </c>
      <c r="B242" s="9" t="n">
        <v>45807</v>
      </c>
      <c r="C242" s="7" t="inlineStr">
        <is>
          <t>Invoice</t>
        </is>
      </c>
      <c r="D242" s="7" t="inlineStr">
        <is>
          <t>SUP012</t>
        </is>
      </c>
      <c r="E242" s="7">
        <f>IF(E242="","Unknown Supplier",TRIM(E242))</f>
        <v/>
      </c>
      <c r="F242" s="7">
        <f>IF(F242="","Unclassified",TRIM(F242))</f>
        <v/>
      </c>
      <c r="G242" s="7" t="inlineStr">
        <is>
          <t>Repair parts</t>
        </is>
      </c>
      <c r="H242" s="7" t="inlineStr">
        <is>
          <t>Corporate</t>
        </is>
      </c>
      <c r="I242" s="7" t="inlineStr">
        <is>
          <t>East</t>
        </is>
      </c>
      <c r="J242" s="7" t="n">
        <v>97</v>
      </c>
      <c r="K242" s="7" t="n">
        <v>118.82</v>
      </c>
      <c r="L242" s="7" t="n">
        <v>11525.11</v>
      </c>
      <c r="M242" s="7" t="inlineStr">
        <is>
          <t>Pending</t>
        </is>
      </c>
      <c r="N242" s="7">
        <f>IF(OR(E242="Apex Office Supplies",E242="Apex Office Supply Ltd"),"Apex Office Supplies",IF(OR(E242="Northstar IT Services",E242="North Star IT Svc"),"Northstar IT Services",IF(OR(E242="Metro Logistics",E242="Metro Logistics Pvt Ltd"),"Metro Logistics",E242)))</f>
        <v/>
      </c>
      <c r="O242" s="7">
        <f>IF(AND(ISNUMBER(L242),L242&gt;0),"Valid","Review")</f>
        <v/>
      </c>
      <c r="P242" s="7">
        <f>IF(OR(E242="",F242="",NOT(ISNUMBER(L242))),"Check Missing/Invalid Data","OK")</f>
        <v/>
      </c>
    </row>
    <row r="243">
      <c r="A243" s="7" t="inlineStr">
        <is>
          <t>PO-00101</t>
        </is>
      </c>
      <c r="B243" s="9" t="n">
        <v>45807</v>
      </c>
      <c r="C243" s="7" t="inlineStr">
        <is>
          <t>Invoice</t>
        </is>
      </c>
      <c r="D243" s="7" t="inlineStr">
        <is>
          <t>SUP009</t>
        </is>
      </c>
      <c r="E243" s="7">
        <f>IF(E243="","Unknown Supplier",TRIM(E243))</f>
        <v/>
      </c>
      <c r="F243" s="7">
        <f>IF(F243="","Unclassified",TRIM(F243))</f>
        <v/>
      </c>
      <c r="G243" s="7" t="inlineStr">
        <is>
          <t>Business consulting</t>
        </is>
      </c>
      <c r="H243" s="7" t="inlineStr">
        <is>
          <t>Sales</t>
        </is>
      </c>
      <c r="I243" s="7" t="inlineStr">
        <is>
          <t>South</t>
        </is>
      </c>
      <c r="J243" s="7" t="n">
        <v>62</v>
      </c>
      <c r="K243" s="7" t="n">
        <v>206.99</v>
      </c>
      <c r="L243" s="7" t="n">
        <v>12833.24</v>
      </c>
      <c r="M243" s="7" t="inlineStr">
        <is>
          <t>Pending</t>
        </is>
      </c>
      <c r="N243" s="7">
        <f>IF(OR(E243="Apex Office Supplies",E243="Apex Office Supply Ltd"),"Apex Office Supplies",IF(OR(E243="Northstar IT Services",E243="North Star IT Svc"),"Northstar IT Services",IF(OR(E243="Metro Logistics",E243="Metro Logistics Pvt Ltd"),"Metro Logistics",E243)))</f>
        <v/>
      </c>
      <c r="O243" s="7">
        <f>IF(AND(ISNUMBER(L243),L243&gt;0),"Valid","Review")</f>
        <v/>
      </c>
      <c r="P243" s="7">
        <f>IF(OR(E243="",F243="",NOT(ISNUMBER(L243))),"Check Missing/Invalid Data","OK")</f>
        <v/>
      </c>
    </row>
    <row r="244">
      <c r="A244" s="7" t="inlineStr">
        <is>
          <t>PO-00476</t>
        </is>
      </c>
      <c r="B244" s="9" t="n">
        <v>45808</v>
      </c>
      <c r="C244" s="7" t="inlineStr">
        <is>
          <t>Goods Receipt</t>
        </is>
      </c>
      <c r="D244" s="7" t="inlineStr">
        <is>
          <t>SUP004</t>
        </is>
      </c>
      <c r="E244" s="7">
        <f>IF(E244="","Unknown Supplier",TRIM(E244))</f>
        <v/>
      </c>
      <c r="F244" s="7">
        <f>IF(F244="","Unclassified",TRIM(F244))</f>
        <v/>
      </c>
      <c r="G244" s="7" t="inlineStr">
        <is>
          <t>IT consulting</t>
        </is>
      </c>
      <c r="H244" s="7" t="inlineStr">
        <is>
          <t>Corporate</t>
        </is>
      </c>
      <c r="I244" s="7" t="inlineStr">
        <is>
          <t>North</t>
        </is>
      </c>
      <c r="J244" s="7" t="n">
        <v>61</v>
      </c>
      <c r="K244" s="7" t="n">
        <v>311.43</v>
      </c>
      <c r="L244" s="7" t="n">
        <v>18997.26</v>
      </c>
      <c r="M244" s="7" t="inlineStr">
        <is>
          <t>Overdue</t>
        </is>
      </c>
      <c r="N244" s="7">
        <f>IF(OR(E244="Apex Office Supplies",E244="Apex Office Supply Ltd"),"Apex Office Supplies",IF(OR(E244="Northstar IT Services",E244="North Star IT Svc"),"Northstar IT Services",IF(OR(E244="Metro Logistics",E244="Metro Logistics Pvt Ltd"),"Metro Logistics",E244)))</f>
        <v/>
      </c>
      <c r="O244" s="7">
        <f>IF(AND(ISNUMBER(L244),L244&gt;0),"Valid","Review")</f>
        <v/>
      </c>
      <c r="P244" s="7">
        <f>IF(OR(E244="",F244="",NOT(ISNUMBER(L244))),"Check Missing/Invalid Data","OK")</f>
        <v/>
      </c>
    </row>
    <row r="245">
      <c r="A245" s="7" t="inlineStr">
        <is>
          <t>PO-00578</t>
        </is>
      </c>
      <c r="B245" s="9" t="n">
        <v>45808</v>
      </c>
      <c r="C245" s="7" t="inlineStr">
        <is>
          <t>Goods Receipt</t>
        </is>
      </c>
      <c r="D245" s="7" t="inlineStr">
        <is>
          <t>SUP009</t>
        </is>
      </c>
      <c r="E245" s="7">
        <f>IF(E245="","Unknown Supplier",TRIM(E245))</f>
        <v/>
      </c>
      <c r="F245" s="7">
        <f>IF(F245="","Unclassified",TRIM(F245))</f>
        <v/>
      </c>
      <c r="G245" s="7" t="inlineStr">
        <is>
          <t>Training services</t>
        </is>
      </c>
      <c r="H245" s="7" t="inlineStr">
        <is>
          <t>Technology</t>
        </is>
      </c>
      <c r="I245" s="7" t="inlineStr">
        <is>
          <t>West</t>
        </is>
      </c>
      <c r="J245" s="7" t="n">
        <v>24</v>
      </c>
      <c r="K245" s="7" t="n">
        <v>248.85</v>
      </c>
      <c r="L245" s="7" t="n">
        <v>5972.43</v>
      </c>
      <c r="M245" s="7" t="inlineStr">
        <is>
          <t>Pending</t>
        </is>
      </c>
      <c r="N245" s="7">
        <f>IF(OR(E245="Apex Office Supplies",E245="Apex Office Supply Ltd"),"Apex Office Supplies",IF(OR(E245="Northstar IT Services",E245="North Star IT Svc"),"Northstar IT Services",IF(OR(E245="Metro Logistics",E245="Metro Logistics Pvt Ltd"),"Metro Logistics",E245)))</f>
        <v/>
      </c>
      <c r="O245" s="7">
        <f>IF(AND(ISNUMBER(L245),L245&gt;0),"Valid","Review")</f>
        <v/>
      </c>
      <c r="P245" s="7">
        <f>IF(OR(E245="",F245="",NOT(ISNUMBER(L245))),"Check Missing/Invalid Data","OK")</f>
        <v/>
      </c>
    </row>
    <row r="246">
      <c r="A246" s="7" t="inlineStr">
        <is>
          <t>PO-00283</t>
        </is>
      </c>
      <c r="B246" s="9" t="n">
        <v>45809</v>
      </c>
      <c r="C246" s="7" t="inlineStr">
        <is>
          <t>Invoice</t>
        </is>
      </c>
      <c r="D246" s="7" t="inlineStr">
        <is>
          <t>SUP004</t>
        </is>
      </c>
      <c r="E246" s="7">
        <f>IF(E246="","Unknown Supplier",TRIM(E246))</f>
        <v/>
      </c>
      <c r="F246" s="7">
        <f>IF(F246="","Unclassified",TRIM(F246))</f>
        <v/>
      </c>
      <c r="G246" s="7" t="inlineStr">
        <is>
          <t>IT consulting</t>
        </is>
      </c>
      <c r="H246" s="7" t="inlineStr">
        <is>
          <t>Operations</t>
        </is>
      </c>
      <c r="I246" s="7" t="inlineStr">
        <is>
          <t>West</t>
        </is>
      </c>
      <c r="J246" s="7" t="n">
        <v>20</v>
      </c>
      <c r="K246" s="7" t="n">
        <v>134.88</v>
      </c>
      <c r="L246" s="7" t="n">
        <v>2697.63</v>
      </c>
      <c r="M246" s="7" t="inlineStr">
        <is>
          <t>Pending</t>
        </is>
      </c>
      <c r="N246" s="7">
        <f>IF(OR(E246="Apex Office Supplies",E246="Apex Office Supply Ltd"),"Apex Office Supplies",IF(OR(E246="Northstar IT Services",E246="North Star IT Svc"),"Northstar IT Services",IF(OR(E246="Metro Logistics",E246="Metro Logistics Pvt Ltd"),"Metro Logistics",E246)))</f>
        <v/>
      </c>
      <c r="O246" s="7">
        <f>IF(AND(ISNUMBER(L246),L246&gt;0),"Valid","Review")</f>
        <v/>
      </c>
      <c r="P246" s="7">
        <f>IF(OR(E246="",F246="",NOT(ISNUMBER(L246))),"Check Missing/Invalid Data","OK")</f>
        <v/>
      </c>
    </row>
    <row r="247">
      <c r="A247" s="7" t="inlineStr">
        <is>
          <t>PO-00369</t>
        </is>
      </c>
      <c r="B247" s="9" t="n">
        <v>45809</v>
      </c>
      <c r="C247" s="7" t="inlineStr">
        <is>
          <t>Purchase Order</t>
        </is>
      </c>
      <c r="D247" s="7" t="inlineStr">
        <is>
          <t>SUP008</t>
        </is>
      </c>
      <c r="E247" s="7">
        <f>IF(E247="","Unknown Supplier",TRIM(E247))</f>
        <v/>
      </c>
      <c r="F247" s="7">
        <f>IF(F247="","Unclassified",TRIM(F247))</f>
        <v/>
      </c>
      <c r="G247" s="7" t="inlineStr">
        <is>
          <t>Protective packaging</t>
        </is>
      </c>
      <c r="H247" s="7" t="inlineStr">
        <is>
          <t>Sales</t>
        </is>
      </c>
      <c r="I247" s="7" t="inlineStr">
        <is>
          <t>South</t>
        </is>
      </c>
      <c r="J247" s="7" t="n">
        <v>8</v>
      </c>
      <c r="K247" s="7" t="n">
        <v>1245.79</v>
      </c>
      <c r="L247" s="7" t="n">
        <v>9966.309999999999</v>
      </c>
      <c r="M247" s="7" t="inlineStr">
        <is>
          <t>Pending</t>
        </is>
      </c>
      <c r="N247" s="7">
        <f>IF(OR(E247="Apex Office Supplies",E247="Apex Office Supply Ltd"),"Apex Office Supplies",IF(OR(E247="Northstar IT Services",E247="North Star IT Svc"),"Northstar IT Services",IF(OR(E247="Metro Logistics",E247="Metro Logistics Pvt Ltd"),"Metro Logistics",E247)))</f>
        <v/>
      </c>
      <c r="O247" s="7">
        <f>IF(AND(ISNUMBER(L247),L247&gt;0),"Valid","Review")</f>
        <v/>
      </c>
      <c r="P247" s="7">
        <f>IF(OR(E247="",F247="",NOT(ISNUMBER(L247))),"Check Missing/Invalid Data","OK")</f>
        <v/>
      </c>
    </row>
    <row r="248">
      <c r="A248" s="7" t="inlineStr">
        <is>
          <t>PO-00190</t>
        </is>
      </c>
      <c r="B248" s="9" t="n">
        <v>45809</v>
      </c>
      <c r="C248" s="7" t="inlineStr">
        <is>
          <t>Goods Receipt</t>
        </is>
      </c>
      <c r="D248" s="7" t="inlineStr">
        <is>
          <t>SUP005</t>
        </is>
      </c>
      <c r="E248" s="7">
        <f>IF(E248="","Unknown Supplier",TRIM(E248))</f>
        <v/>
      </c>
      <c r="F248" s="7">
        <f>IF(F248="","Unclassified",TRIM(F248))</f>
        <v/>
      </c>
      <c r="G248" s="7" t="inlineStr">
        <is>
          <t>Courier services</t>
        </is>
      </c>
      <c r="H248" s="7" t="inlineStr">
        <is>
          <t>Technology</t>
        </is>
      </c>
      <c r="I248" s="7" t="inlineStr">
        <is>
          <t>West</t>
        </is>
      </c>
      <c r="J248" s="7" t="n">
        <v>22</v>
      </c>
      <c r="K248" s="7" t="n">
        <v>1000.82</v>
      </c>
      <c r="L248" s="7" t="n">
        <v>22018.08</v>
      </c>
      <c r="M248" s="7" t="inlineStr">
        <is>
          <t>Paid</t>
        </is>
      </c>
      <c r="N248" s="7">
        <f>IF(OR(E248="Apex Office Supplies",E248="Apex Office Supply Ltd"),"Apex Office Supplies",IF(OR(E248="Northstar IT Services",E248="North Star IT Svc"),"Northstar IT Services",IF(OR(E248="Metro Logistics",E248="Metro Logistics Pvt Ltd"),"Metro Logistics",E248)))</f>
        <v/>
      </c>
      <c r="O248" s="7">
        <f>IF(AND(ISNUMBER(L248),L248&gt;0),"Valid","Review")</f>
        <v/>
      </c>
      <c r="P248" s="7">
        <f>IF(OR(E248="",F248="",NOT(ISNUMBER(L248))),"Check Missing/Invalid Data","OK")</f>
        <v/>
      </c>
    </row>
    <row r="249">
      <c r="A249" s="7" t="inlineStr">
        <is>
          <t>PO-00431</t>
        </is>
      </c>
      <c r="B249" s="9" t="n">
        <v>45810</v>
      </c>
      <c r="C249" s="7" t="inlineStr">
        <is>
          <t>Invoice</t>
        </is>
      </c>
      <c r="D249" s="7" t="inlineStr">
        <is>
          <t>SUP005</t>
        </is>
      </c>
      <c r="E249" s="7">
        <f>IF(E249="","Unknown Supplier",TRIM(E249))</f>
        <v/>
      </c>
      <c r="F249" s="7">
        <f>IF(F249="","Unclassified",TRIM(F249))</f>
        <v/>
      </c>
      <c r="G249" s="7" t="inlineStr">
        <is>
          <t>Courier services</t>
        </is>
      </c>
      <c r="H249" s="7" t="inlineStr">
        <is>
          <t>Operations</t>
        </is>
      </c>
      <c r="I249" s="7" t="inlineStr">
        <is>
          <t>East</t>
        </is>
      </c>
      <c r="J249" s="7" t="n">
        <v>68</v>
      </c>
      <c r="K249" s="7" t="n">
        <v>235.57</v>
      </c>
      <c r="L249" s="7" t="n">
        <v>16018.69</v>
      </c>
      <c r="M249" s="7" t="inlineStr">
        <is>
          <t>Pending</t>
        </is>
      </c>
      <c r="N249" s="7">
        <f>IF(OR(E249="Apex Office Supplies",E249="Apex Office Supply Ltd"),"Apex Office Supplies",IF(OR(E249="Northstar IT Services",E249="North Star IT Svc"),"Northstar IT Services",IF(OR(E249="Metro Logistics",E249="Metro Logistics Pvt Ltd"),"Metro Logistics",E249)))</f>
        <v/>
      </c>
      <c r="O249" s="7">
        <f>IF(AND(ISNUMBER(L249),L249&gt;0),"Valid","Review")</f>
        <v/>
      </c>
      <c r="P249" s="7">
        <f>IF(OR(E249="",F249="",NOT(ISNUMBER(L249))),"Check Missing/Invalid Data","OK")</f>
        <v/>
      </c>
    </row>
    <row r="250">
      <c r="A250" s="7" t="inlineStr">
        <is>
          <t>PO-00235</t>
        </is>
      </c>
      <c r="B250" s="9" t="n">
        <v>45810</v>
      </c>
      <c r="C250" s="7" t="inlineStr">
        <is>
          <t>Invoice</t>
        </is>
      </c>
      <c r="D250" s="7" t="inlineStr">
        <is>
          <t>SUP010</t>
        </is>
      </c>
      <c r="E250" s="7">
        <f>IF(E250="","Unknown Supplier",TRIM(E250))</f>
        <v/>
      </c>
      <c r="F250" s="7">
        <f>IF(F250="","Unclassified",TRIM(F250))</f>
        <v/>
      </c>
      <c r="G250" s="7" t="inlineStr">
        <is>
          <t>Water services</t>
        </is>
      </c>
      <c r="H250" s="7" t="inlineStr">
        <is>
          <t>Manufacturing</t>
        </is>
      </c>
      <c r="I250" s="7" t="inlineStr">
        <is>
          <t>West</t>
        </is>
      </c>
      <c r="J250" s="7" t="n">
        <v>43</v>
      </c>
      <c r="K250" s="7" t="n">
        <v>388.86</v>
      </c>
      <c r="L250" s="7" t="n">
        <v>16720.77</v>
      </c>
      <c r="M250" s="7" t="inlineStr">
        <is>
          <t>Paid</t>
        </is>
      </c>
      <c r="N250" s="7">
        <f>IF(OR(E250="Apex Office Supplies",E250="Apex Office Supply Ltd"),"Apex Office Supplies",IF(OR(E250="Northstar IT Services",E250="North Star IT Svc"),"Northstar IT Services",IF(OR(E250="Metro Logistics",E250="Metro Logistics Pvt Ltd"),"Metro Logistics",E250)))</f>
        <v/>
      </c>
      <c r="O250" s="7">
        <f>IF(AND(ISNUMBER(L250),L250&gt;0),"Valid","Review")</f>
        <v/>
      </c>
      <c r="P250" s="7">
        <f>IF(OR(E250="",F250="",NOT(ISNUMBER(L250))),"Check Missing/Invalid Data","OK")</f>
        <v/>
      </c>
    </row>
    <row r="251">
      <c r="A251" s="7" t="inlineStr">
        <is>
          <t>PO-00227</t>
        </is>
      </c>
      <c r="B251" s="9" t="n">
        <v>45810</v>
      </c>
      <c r="C251" s="7" t="inlineStr">
        <is>
          <t>Invoice</t>
        </is>
      </c>
      <c r="D251" s="7" t="inlineStr">
        <is>
          <t>SUP005</t>
        </is>
      </c>
      <c r="E251" s="7">
        <f>IF(E251="","Unknown Supplier",TRIM(E251))</f>
        <v/>
      </c>
      <c r="F251" s="7">
        <f>IF(F251="","Unclassified",TRIM(F251))</f>
        <v/>
      </c>
      <c r="G251" s="7" t="inlineStr">
        <is>
          <t>Courier services</t>
        </is>
      </c>
      <c r="H251" s="7" t="inlineStr">
        <is>
          <t>Technology</t>
        </is>
      </c>
      <c r="I251" s="7" t="inlineStr">
        <is>
          <t>East</t>
        </is>
      </c>
      <c r="J251" s="7" t="n">
        <v>63</v>
      </c>
      <c r="K251" s="7" t="n">
        <v>336.26</v>
      </c>
      <c r="L251" s="7" t="n">
        <v>21184.53</v>
      </c>
      <c r="M251" s="7" t="inlineStr">
        <is>
          <t>Pending</t>
        </is>
      </c>
      <c r="N251" s="7">
        <f>IF(OR(E251="Apex Office Supplies",E251="Apex Office Supply Ltd"),"Apex Office Supplies",IF(OR(E251="Northstar IT Services",E251="North Star IT Svc"),"Northstar IT Services",IF(OR(E251="Metro Logistics",E251="Metro Logistics Pvt Ltd"),"Metro Logistics",E251)))</f>
        <v/>
      </c>
      <c r="O251" s="7">
        <f>IF(AND(ISNUMBER(L251),L251&gt;0),"Valid","Review")</f>
        <v/>
      </c>
      <c r="P251" s="7">
        <f>IF(OR(E251="",F251="",NOT(ISNUMBER(L251))),"Check Missing/Invalid Data","OK")</f>
        <v/>
      </c>
    </row>
    <row r="252">
      <c r="A252" s="7" t="inlineStr">
        <is>
          <t>PO-00303</t>
        </is>
      </c>
      <c r="B252" s="9" t="n">
        <v>45811</v>
      </c>
      <c r="C252" s="7" t="inlineStr">
        <is>
          <t>Invoice</t>
        </is>
      </c>
      <c r="D252" s="7" t="inlineStr">
        <is>
          <t>SUP001</t>
        </is>
      </c>
      <c r="E252" s="7">
        <f>IF(E252="","Unknown Supplier",TRIM(E252))</f>
        <v/>
      </c>
      <c r="F252" s="7">
        <f>IF(F252="","Unclassified",TRIM(F252))</f>
        <v/>
      </c>
      <c r="G252" s="7" t="inlineStr">
        <is>
          <t>Toner cartridges</t>
        </is>
      </c>
      <c r="H252" s="7" t="inlineStr">
        <is>
          <t>Corporate</t>
        </is>
      </c>
      <c r="I252" s="7" t="inlineStr">
        <is>
          <t>South</t>
        </is>
      </c>
      <c r="J252" s="7" t="n">
        <v>109</v>
      </c>
      <c r="K252" s="7" t="n">
        <v>19.98</v>
      </c>
      <c r="L252" s="7" t="n">
        <v>2177.72</v>
      </c>
      <c r="M252" s="7" t="inlineStr">
        <is>
          <t>Overdue</t>
        </is>
      </c>
      <c r="N252" s="7">
        <f>IF(OR(E252="Apex Office Supplies",E252="Apex Office Supply Ltd"),"Apex Office Supplies",IF(OR(E252="Northstar IT Services",E252="North Star IT Svc"),"Northstar IT Services",IF(OR(E252="Metro Logistics",E252="Metro Logistics Pvt Ltd"),"Metro Logistics",E252)))</f>
        <v/>
      </c>
      <c r="O252" s="7">
        <f>IF(AND(ISNUMBER(L252),L252&gt;0),"Valid","Review")</f>
        <v/>
      </c>
      <c r="P252" s="7">
        <f>IF(OR(E252="",F252="",NOT(ISNUMBER(L252))),"Check Missing/Invalid Data","OK")</f>
        <v/>
      </c>
    </row>
    <row r="253">
      <c r="A253" s="7" t="inlineStr">
        <is>
          <t>PO-00337</t>
        </is>
      </c>
      <c r="B253" s="9" t="n">
        <v>45812</v>
      </c>
      <c r="C253" s="7" t="inlineStr">
        <is>
          <t>Invoice</t>
        </is>
      </c>
      <c r="D253" s="7" t="inlineStr">
        <is>
          <t>SUP004</t>
        </is>
      </c>
      <c r="E253" s="7">
        <f>IF(E253="","Unknown Supplier",TRIM(E253))</f>
        <v/>
      </c>
      <c r="F253" s="7">
        <f>IF(F253="","Unclassified",TRIM(F253))</f>
        <v/>
      </c>
      <c r="G253" s="7" t="inlineStr">
        <is>
          <t>Cloud services</t>
        </is>
      </c>
      <c r="H253" s="7" t="inlineStr">
        <is>
          <t>Corporate</t>
        </is>
      </c>
      <c r="I253" s="7" t="inlineStr">
        <is>
          <t>South</t>
        </is>
      </c>
      <c r="J253" s="7" t="n">
        <v>96</v>
      </c>
      <c r="K253" s="7" t="n">
        <v>163.45</v>
      </c>
      <c r="L253" s="7" t="n">
        <v>15691.45</v>
      </c>
      <c r="M253" s="7" t="inlineStr">
        <is>
          <t>Pending</t>
        </is>
      </c>
      <c r="N253" s="7">
        <f>IF(OR(E253="Apex Office Supplies",E253="Apex Office Supply Ltd"),"Apex Office Supplies",IF(OR(E253="Northstar IT Services",E253="North Star IT Svc"),"Northstar IT Services",IF(OR(E253="Metro Logistics",E253="Metro Logistics Pvt Ltd"),"Metro Logistics",E253)))</f>
        <v/>
      </c>
      <c r="O253" s="7">
        <f>IF(AND(ISNUMBER(L253),L253&gt;0),"Valid","Review")</f>
        <v/>
      </c>
      <c r="P253" s="7">
        <f>IF(OR(E253="",F253="",NOT(ISNUMBER(L253))),"Check Missing/Invalid Data","OK")</f>
        <v/>
      </c>
    </row>
    <row r="254">
      <c r="A254" s="7" t="inlineStr">
        <is>
          <t>PO-00415</t>
        </is>
      </c>
      <c r="B254" s="9" t="n">
        <v>45812</v>
      </c>
      <c r="C254" s="7" t="inlineStr">
        <is>
          <t>Purchase Order</t>
        </is>
      </c>
      <c r="D254" s="7" t="inlineStr">
        <is>
          <t>SUP011</t>
        </is>
      </c>
      <c r="E254" s="7">
        <f>IF(E254="","Unknown Supplier",TRIM(E254))</f>
        <v/>
      </c>
      <c r="F254" s="7">
        <f>IF(F254="","Unclassified",TRIM(F254))</f>
        <v/>
      </c>
      <c r="G254" s="7" t="inlineStr">
        <is>
          <t>Digital campaign</t>
        </is>
      </c>
      <c r="H254" s="7" t="inlineStr">
        <is>
          <t>Manufacturing</t>
        </is>
      </c>
      <c r="I254" s="7" t="inlineStr">
        <is>
          <t>East</t>
        </is>
      </c>
      <c r="J254" s="7" t="n">
        <v>75</v>
      </c>
      <c r="K254" s="7" t="n">
        <v>150.27</v>
      </c>
      <c r="L254" s="7" t="n">
        <v>11270.08</v>
      </c>
      <c r="M254" s="7" t="inlineStr">
        <is>
          <t>Overdue</t>
        </is>
      </c>
      <c r="N254" s="7">
        <f>IF(OR(E254="Apex Office Supplies",E254="Apex Office Supply Ltd"),"Apex Office Supplies",IF(OR(E254="Northstar IT Services",E254="North Star IT Svc"),"Northstar IT Services",IF(OR(E254="Metro Logistics",E254="Metro Logistics Pvt Ltd"),"Metro Logistics",E254)))</f>
        <v/>
      </c>
      <c r="O254" s="7">
        <f>IF(AND(ISNUMBER(L254),L254&gt;0),"Valid","Review")</f>
        <v/>
      </c>
      <c r="P254" s="7">
        <f>IF(OR(E254="",F254="",NOT(ISNUMBER(L254))),"Check Missing/Invalid Data","OK")</f>
        <v/>
      </c>
    </row>
    <row r="255">
      <c r="A255" s="7" t="inlineStr">
        <is>
          <t>PO-00295</t>
        </is>
      </c>
      <c r="B255" s="9" t="n">
        <v>45813</v>
      </c>
      <c r="C255" s="7" t="inlineStr">
        <is>
          <t>Invoice</t>
        </is>
      </c>
      <c r="D255" s="7" t="inlineStr">
        <is>
          <t>SUP004</t>
        </is>
      </c>
      <c r="E255" s="7">
        <f>IF(E255="","Unknown Supplier",TRIM(E255))</f>
        <v/>
      </c>
      <c r="F255" s="7">
        <f>IF(F255="","Unclassified",TRIM(F255))</f>
        <v/>
      </c>
      <c r="G255" s="7" t="inlineStr">
        <is>
          <t>Software support</t>
        </is>
      </c>
      <c r="H255" s="7" t="inlineStr">
        <is>
          <t>Sales</t>
        </is>
      </c>
      <c r="I255" s="7" t="inlineStr">
        <is>
          <t>West</t>
        </is>
      </c>
      <c r="J255" s="7" t="n">
        <v>55</v>
      </c>
      <c r="K255" s="7" t="n">
        <v>88.90000000000001</v>
      </c>
      <c r="L255" s="7" t="n">
        <v>4889.34</v>
      </c>
      <c r="M255" s="7" t="inlineStr">
        <is>
          <t>Overdue</t>
        </is>
      </c>
      <c r="N255" s="7">
        <f>IF(OR(E255="Apex Office Supplies",E255="Apex Office Supply Ltd"),"Apex Office Supplies",IF(OR(E255="Northstar IT Services",E255="North Star IT Svc"),"Northstar IT Services",IF(OR(E255="Metro Logistics",E255="Metro Logistics Pvt Ltd"),"Metro Logistics",E255)))</f>
        <v/>
      </c>
      <c r="O255" s="7">
        <f>IF(AND(ISNUMBER(L255),L255&gt;0),"Valid","Review")</f>
        <v/>
      </c>
      <c r="P255" s="7">
        <f>IF(OR(E255="",F255="",NOT(ISNUMBER(L255))),"Check Missing/Invalid Data","OK")</f>
        <v/>
      </c>
    </row>
    <row r="256">
      <c r="A256" s="7" t="inlineStr">
        <is>
          <t>PO-00381</t>
        </is>
      </c>
      <c r="B256" s="9" t="n">
        <v>45815</v>
      </c>
      <c r="C256" s="7" t="inlineStr">
        <is>
          <t>Purchase Order</t>
        </is>
      </c>
      <c r="D256" s="7" t="inlineStr">
        <is>
          <t>SUP012</t>
        </is>
      </c>
      <c r="E256" s="7">
        <f>IF(E256="","Unknown Supplier",TRIM(E256))</f>
        <v/>
      </c>
      <c r="F256" s="7">
        <f>IF(F256="","Unclassified",TRIM(F256))</f>
        <v/>
      </c>
      <c r="G256" s="7" t="inlineStr">
        <is>
          <t>Tools and supplies</t>
        </is>
      </c>
      <c r="H256" s="7" t="inlineStr">
        <is>
          <t>Manufacturing</t>
        </is>
      </c>
      <c r="I256" s="7" t="inlineStr">
        <is>
          <t>West</t>
        </is>
      </c>
      <c r="J256" s="7" t="n">
        <v>94</v>
      </c>
      <c r="K256" s="7" t="n">
        <v>25.5</v>
      </c>
      <c r="L256" s="7" t="n">
        <v>2396.99</v>
      </c>
      <c r="M256" s="7" t="inlineStr">
        <is>
          <t>Overdue</t>
        </is>
      </c>
      <c r="N256" s="7">
        <f>IF(OR(E256="Apex Office Supplies",E256="Apex Office Supply Ltd"),"Apex Office Supplies",IF(OR(E256="Northstar IT Services",E256="North Star IT Svc"),"Northstar IT Services",IF(OR(E256="Metro Logistics",E256="Metro Logistics Pvt Ltd"),"Metro Logistics",E256)))</f>
        <v/>
      </c>
      <c r="O256" s="7">
        <f>IF(AND(ISNUMBER(L256),L256&gt;0),"Valid","Review")</f>
        <v/>
      </c>
      <c r="P256" s="7">
        <f>IF(OR(E256="",F256="",NOT(ISNUMBER(L256))),"Check Missing/Invalid Data","OK")</f>
        <v/>
      </c>
    </row>
    <row r="257">
      <c r="A257" s="7" t="inlineStr">
        <is>
          <t>PO-00143</t>
        </is>
      </c>
      <c r="B257" s="9" t="n">
        <v>45817</v>
      </c>
      <c r="C257" s="7" t="inlineStr">
        <is>
          <t>Goods Receipt</t>
        </is>
      </c>
      <c r="D257" s="7" t="inlineStr">
        <is>
          <t>SUP006</t>
        </is>
      </c>
      <c r="E257" s="7">
        <f>IF(E257="","Unknown Supplier",TRIM(E257))</f>
        <v/>
      </c>
      <c r="F257" s="7">
        <f>IF(F257="","Unclassified",TRIM(F257))</f>
        <v/>
      </c>
      <c r="G257" s="7" t="inlineStr">
        <is>
          <t>Courier services</t>
        </is>
      </c>
      <c r="H257" s="7" t="inlineStr">
        <is>
          <t>Operations</t>
        </is>
      </c>
      <c r="I257" s="7" t="inlineStr">
        <is>
          <t>North</t>
        </is>
      </c>
      <c r="J257" s="7" t="n">
        <v>20</v>
      </c>
      <c r="K257" s="7" t="n">
        <v>781.37</v>
      </c>
      <c r="L257" s="7" t="n">
        <v>15627.31</v>
      </c>
      <c r="M257" s="7" t="inlineStr">
        <is>
          <t>Pending</t>
        </is>
      </c>
      <c r="N257" s="7">
        <f>IF(OR(E257="Apex Office Supplies",E257="Apex Office Supply Ltd"),"Apex Office Supplies",IF(OR(E257="Northstar IT Services",E257="North Star IT Svc"),"Northstar IT Services",IF(OR(E257="Metro Logistics",E257="Metro Logistics Pvt Ltd"),"Metro Logistics",E257)))</f>
        <v/>
      </c>
      <c r="O257" s="7">
        <f>IF(AND(ISNUMBER(L257),L257&gt;0),"Valid","Review")</f>
        <v/>
      </c>
      <c r="P257" s="7">
        <f>IF(OR(E257="",F257="",NOT(ISNUMBER(L257))),"Check Missing/Invalid Data","OK")</f>
        <v/>
      </c>
    </row>
    <row r="258">
      <c r="A258" s="7" t="inlineStr">
        <is>
          <t>PO-00140</t>
        </is>
      </c>
      <c r="B258" s="9" t="n">
        <v>45818</v>
      </c>
      <c r="C258" s="7" t="inlineStr">
        <is>
          <t>Invoice</t>
        </is>
      </c>
      <c r="D258" s="7" t="inlineStr">
        <is>
          <t>SUP011</t>
        </is>
      </c>
      <c r="E258" s="7">
        <f>IF(E258="","Unknown Supplier",TRIM(E258))</f>
        <v/>
      </c>
      <c r="F258" s="7">
        <f>IF(F258="","Unclassified",TRIM(F258))</f>
        <v/>
      </c>
      <c r="G258" s="7" t="inlineStr">
        <is>
          <t>Digital campaign</t>
        </is>
      </c>
      <c r="H258" s="7" t="inlineStr">
        <is>
          <t>Corporate</t>
        </is>
      </c>
      <c r="I258" s="7" t="inlineStr">
        <is>
          <t>North</t>
        </is>
      </c>
      <c r="J258" s="7" t="n">
        <v>88</v>
      </c>
      <c r="K258" s="7" t="n">
        <v>195.12</v>
      </c>
      <c r="L258" s="7" t="n">
        <v>17170.23</v>
      </c>
      <c r="M258" s="7" t="inlineStr">
        <is>
          <t>Paid</t>
        </is>
      </c>
      <c r="N258" s="7">
        <f>IF(OR(E258="Apex Office Supplies",E258="Apex Office Supply Ltd"),"Apex Office Supplies",IF(OR(E258="Northstar IT Services",E258="North Star IT Svc"),"Northstar IT Services",IF(OR(E258="Metro Logistics",E258="Metro Logistics Pvt Ltd"),"Metro Logistics",E258)))</f>
        <v/>
      </c>
      <c r="O258" s="7">
        <f>IF(AND(ISNUMBER(L258),L258&gt;0),"Valid","Review")</f>
        <v/>
      </c>
      <c r="P258" s="7">
        <f>IF(OR(E258="",F258="",NOT(ISNUMBER(L258))),"Check Missing/Invalid Data","OK")</f>
        <v/>
      </c>
    </row>
    <row r="259">
      <c r="A259" s="7" t="inlineStr">
        <is>
          <t>PO-00535</t>
        </is>
      </c>
      <c r="B259" s="9" t="n">
        <v>45818</v>
      </c>
      <c r="C259" s="7" t="inlineStr">
        <is>
          <t>Goods Receipt</t>
        </is>
      </c>
      <c r="D259" s="7" t="inlineStr">
        <is>
          <t>SUP006</t>
        </is>
      </c>
      <c r="E259" s="7">
        <f>IF(E259="","Unknown Supplier",TRIM(E259))</f>
        <v/>
      </c>
      <c r="F259" s="7">
        <f>IF(F259="","Unclassified",TRIM(F259))</f>
        <v/>
      </c>
      <c r="G259" s="7" t="inlineStr">
        <is>
          <t>Warehouse handling</t>
        </is>
      </c>
      <c r="H259" s="7" t="inlineStr">
        <is>
          <t>Operations</t>
        </is>
      </c>
      <c r="I259" s="7" t="inlineStr">
        <is>
          <t>West</t>
        </is>
      </c>
      <c r="J259" s="7" t="n">
        <v>24</v>
      </c>
      <c r="K259" s="7" t="n">
        <v>735.11</v>
      </c>
      <c r="L259" s="7" t="n">
        <v>17642.57</v>
      </c>
      <c r="M259" s="7" t="inlineStr">
        <is>
          <t>Overdue</t>
        </is>
      </c>
      <c r="N259" s="7">
        <f>IF(OR(E259="Apex Office Supplies",E259="Apex Office Supply Ltd"),"Apex Office Supplies",IF(OR(E259="Northstar IT Services",E259="North Star IT Svc"),"Northstar IT Services",IF(OR(E259="Metro Logistics",E259="Metro Logistics Pvt Ltd"),"Metro Logistics",E259)))</f>
        <v/>
      </c>
      <c r="O259" s="7">
        <f>IF(AND(ISNUMBER(L259),L259&gt;0),"Valid","Review")</f>
        <v/>
      </c>
      <c r="P259" s="7">
        <f>IF(OR(E259="",F259="",NOT(ISNUMBER(L259))),"Check Missing/Invalid Data","OK")</f>
        <v/>
      </c>
    </row>
    <row r="260">
      <c r="A260" s="7" t="inlineStr">
        <is>
          <t>PO-00278</t>
        </is>
      </c>
      <c r="B260" s="9" t="n">
        <v>45819</v>
      </c>
      <c r="C260" s="7" t="inlineStr">
        <is>
          <t>Goods Receipt</t>
        </is>
      </c>
      <c r="D260" s="7" t="inlineStr">
        <is>
          <t>SUP001</t>
        </is>
      </c>
      <c r="E260" s="7">
        <f>IF(E260="","Unknown Supplier",TRIM(E260))</f>
        <v/>
      </c>
      <c r="F260" s="7">
        <f>IF(F260="","Unclassified",TRIM(F260))</f>
        <v/>
      </c>
      <c r="G260" s="7" t="inlineStr">
        <is>
          <t>Pens and stationery</t>
        </is>
      </c>
      <c r="H260" s="7" t="inlineStr">
        <is>
          <t>Corporate</t>
        </is>
      </c>
      <c r="I260" s="7" t="inlineStr">
        <is>
          <t>East</t>
        </is>
      </c>
      <c r="J260" s="7" t="n">
        <v>97</v>
      </c>
      <c r="K260" s="7" t="n">
        <v>109.45</v>
      </c>
      <c r="L260" s="7" t="n">
        <v>10616.21</v>
      </c>
      <c r="M260" s="7" t="inlineStr">
        <is>
          <t>Paid</t>
        </is>
      </c>
      <c r="N260" s="7">
        <f>IF(OR(E260="Apex Office Supplies",E260="Apex Office Supply Ltd"),"Apex Office Supplies",IF(OR(E260="Northstar IT Services",E260="North Star IT Svc"),"Northstar IT Services",IF(OR(E260="Metro Logistics",E260="Metro Logistics Pvt Ltd"),"Metro Logistics",E260)))</f>
        <v/>
      </c>
      <c r="O260" s="7">
        <f>IF(AND(ISNUMBER(L260),L260&gt;0),"Valid","Review")</f>
        <v/>
      </c>
      <c r="P260" s="7">
        <f>IF(OR(E260="",F260="",NOT(ISNUMBER(L260))),"Check Missing/Invalid Data","OK")</f>
        <v/>
      </c>
    </row>
    <row r="261">
      <c r="A261" s="7" t="inlineStr">
        <is>
          <t>PO-00159</t>
        </is>
      </c>
      <c r="B261" s="9" t="n">
        <v>45819</v>
      </c>
      <c r="C261" s="7" t="inlineStr">
        <is>
          <t>Invoice</t>
        </is>
      </c>
      <c r="D261" s="7" t="inlineStr">
        <is>
          <t>SUP003</t>
        </is>
      </c>
      <c r="E261" s="7">
        <f>IF(E261="","Unknown Supplier",TRIM(E261))</f>
        <v/>
      </c>
      <c r="F261" s="7">
        <f>IF(F261="","Unclassified",TRIM(F261))</f>
        <v/>
      </c>
      <c r="G261" s="7" t="inlineStr">
        <is>
          <t>Cloud services</t>
        </is>
      </c>
      <c r="H261" s="7" t="inlineStr">
        <is>
          <t>Manufacturing</t>
        </is>
      </c>
      <c r="I261" s="7" t="inlineStr">
        <is>
          <t>North</t>
        </is>
      </c>
      <c r="J261" s="7" t="n">
        <v>81</v>
      </c>
      <c r="K261" s="7" t="n">
        <v>178.49</v>
      </c>
      <c r="L261" s="7" t="n">
        <v>14457.33</v>
      </c>
      <c r="M261" s="7" t="inlineStr">
        <is>
          <t>Pending</t>
        </is>
      </c>
      <c r="N261" s="7">
        <f>IF(OR(E261="Apex Office Supplies",E261="Apex Office Supply Ltd"),"Apex Office Supplies",IF(OR(E261="Northstar IT Services",E261="North Star IT Svc"),"Northstar IT Services",IF(OR(E261="Metro Logistics",E261="Metro Logistics Pvt Ltd"),"Metro Logistics",E261)))</f>
        <v/>
      </c>
      <c r="O261" s="7">
        <f>IF(AND(ISNUMBER(L261),L261&gt;0),"Valid","Review")</f>
        <v/>
      </c>
      <c r="P261" s="7">
        <f>IF(OR(E261="",F261="",NOT(ISNUMBER(L261))),"Check Missing/Invalid Data","OK")</f>
        <v/>
      </c>
    </row>
    <row r="262">
      <c r="A262" s="7" t="inlineStr">
        <is>
          <t>PO-00387</t>
        </is>
      </c>
      <c r="B262" s="9" t="n">
        <v>45821</v>
      </c>
      <c r="C262" s="7" t="inlineStr">
        <is>
          <t>Invoice</t>
        </is>
      </c>
      <c r="D262" s="7" t="inlineStr">
        <is>
          <t>SUP005</t>
        </is>
      </c>
      <c r="E262" s="7">
        <f>IF(E262="","Unknown Supplier",TRIM(E262))</f>
        <v/>
      </c>
      <c r="F262" s="7">
        <f>IF(F262="","Unclassified",TRIM(F262))</f>
        <v/>
      </c>
      <c r="G262" s="7" t="inlineStr">
        <is>
          <t>Freight services</t>
        </is>
      </c>
      <c r="H262" s="7" t="inlineStr">
        <is>
          <t>Corporate</t>
        </is>
      </c>
      <c r="I262" s="7" t="inlineStr">
        <is>
          <t>North</t>
        </is>
      </c>
      <c r="J262" s="7" t="n">
        <v>22</v>
      </c>
      <c r="K262" s="7" t="n">
        <v>111.79</v>
      </c>
      <c r="L262" s="7" t="n">
        <v>2459.4</v>
      </c>
      <c r="M262" s="7" t="inlineStr">
        <is>
          <t>Pending</t>
        </is>
      </c>
      <c r="N262" s="7">
        <f>IF(OR(E262="Apex Office Supplies",E262="Apex Office Supply Ltd"),"Apex Office Supplies",IF(OR(E262="Northstar IT Services",E262="North Star IT Svc"),"Northstar IT Services",IF(OR(E262="Metro Logistics",E262="Metro Logistics Pvt Ltd"),"Metro Logistics",E262)))</f>
        <v/>
      </c>
      <c r="O262" s="7">
        <f>IF(AND(ISNUMBER(L262),L262&gt;0),"Valid","Review")</f>
        <v/>
      </c>
      <c r="P262" s="7">
        <f>IF(OR(E262="",F262="",NOT(ISNUMBER(L262))),"Check Missing/Invalid Data","OK")</f>
        <v/>
      </c>
    </row>
    <row r="263">
      <c r="A263" s="7" t="inlineStr">
        <is>
          <t>PO-00350</t>
        </is>
      </c>
      <c r="B263" s="9" t="n">
        <v>45822</v>
      </c>
      <c r="C263" s="7" t="inlineStr">
        <is>
          <t>Purchase Order</t>
        </is>
      </c>
      <c r="D263" s="7" t="inlineStr">
        <is>
          <t>SUP004</t>
        </is>
      </c>
      <c r="E263" s="7">
        <f>IF(E263="","Unknown Supplier",TRIM(E263))</f>
        <v/>
      </c>
      <c r="F263" s="7">
        <f>IF(F263="","Unclassified",TRIM(F263))</f>
        <v/>
      </c>
      <c r="G263" s="7" t="inlineStr">
        <is>
          <t>IT consulting</t>
        </is>
      </c>
      <c r="H263" s="7" t="inlineStr">
        <is>
          <t>Technology</t>
        </is>
      </c>
      <c r="I263" s="7" t="inlineStr">
        <is>
          <t>North</t>
        </is>
      </c>
      <c r="J263" s="7" t="n">
        <v>35</v>
      </c>
      <c r="K263" s="7" t="n">
        <v>631.37</v>
      </c>
      <c r="L263" s="7" t="n">
        <v>22097.87</v>
      </c>
      <c r="M263" s="7" t="inlineStr">
        <is>
          <t>Overdue</t>
        </is>
      </c>
      <c r="N263" s="7">
        <f>IF(OR(E263="Apex Office Supplies",E263="Apex Office Supply Ltd"),"Apex Office Supplies",IF(OR(E263="Northstar IT Services",E263="North Star IT Svc"),"Northstar IT Services",IF(OR(E263="Metro Logistics",E263="Metro Logistics Pvt Ltd"),"Metro Logistics",E263)))</f>
        <v/>
      </c>
      <c r="O263" s="7">
        <f>IF(AND(ISNUMBER(L263),L263&gt;0),"Valid","Review")</f>
        <v/>
      </c>
      <c r="P263" s="7">
        <f>IF(OR(E263="",F263="",NOT(ISNUMBER(L263))),"Check Missing/Invalid Data","OK")</f>
        <v/>
      </c>
    </row>
    <row r="264">
      <c r="A264" s="7" t="inlineStr">
        <is>
          <t>PO-00291</t>
        </is>
      </c>
      <c r="B264" s="9" t="n">
        <v>45822</v>
      </c>
      <c r="C264" s="7" t="inlineStr">
        <is>
          <t>Purchase Order</t>
        </is>
      </c>
      <c r="D264" s="7" t="inlineStr">
        <is>
          <t>SUP010</t>
        </is>
      </c>
      <c r="E264" s="7">
        <f>IF(E264="","Unknown Supplier",TRIM(E264))</f>
        <v/>
      </c>
      <c r="F264" s="7">
        <f>IF(F264="","Unclassified",TRIM(F264))</f>
        <v/>
      </c>
      <c r="G264" s="7" t="inlineStr">
        <is>
          <t>Water services</t>
        </is>
      </c>
      <c r="H264" s="7" t="inlineStr">
        <is>
          <t>Technology</t>
        </is>
      </c>
      <c r="I264" s="7" t="inlineStr">
        <is>
          <t>East</t>
        </is>
      </c>
      <c r="J264" s="7" t="n">
        <v>41</v>
      </c>
      <c r="K264" s="7" t="n">
        <v>90.52</v>
      </c>
      <c r="L264" s="7" t="n">
        <v>3711.22</v>
      </c>
      <c r="M264" s="7" t="inlineStr">
        <is>
          <t>Overdue</t>
        </is>
      </c>
      <c r="N264" s="7">
        <f>IF(OR(E264="Apex Office Supplies",E264="Apex Office Supply Ltd"),"Apex Office Supplies",IF(OR(E264="Northstar IT Services",E264="North Star IT Svc"),"Northstar IT Services",IF(OR(E264="Metro Logistics",E264="Metro Logistics Pvt Ltd"),"Metro Logistics",E264)))</f>
        <v/>
      </c>
      <c r="O264" s="7">
        <f>IF(AND(ISNUMBER(L264),L264&gt;0),"Valid","Review")</f>
        <v/>
      </c>
      <c r="P264" s="7">
        <f>IF(OR(E264="",F264="",NOT(ISNUMBER(L264))),"Check Missing/Invalid Data","OK")</f>
        <v/>
      </c>
    </row>
    <row r="265">
      <c r="A265" s="7" t="inlineStr">
        <is>
          <t>PO-00417</t>
        </is>
      </c>
      <c r="B265" s="9" t="n">
        <v>45824</v>
      </c>
      <c r="C265" s="7" t="inlineStr">
        <is>
          <t>Goods Receipt</t>
        </is>
      </c>
      <c r="D265" s="7" t="inlineStr">
        <is>
          <t>SUP005</t>
        </is>
      </c>
      <c r="E265" s="7">
        <f>IF(E265="","Unknown Supplier",TRIM(E265))</f>
        <v/>
      </c>
      <c r="F265" s="7">
        <f>IF(F265="","Unclassified",TRIM(F265))</f>
        <v/>
      </c>
      <c r="G265" s="7" t="inlineStr">
        <is>
          <t>Courier services</t>
        </is>
      </c>
      <c r="H265" s="7" t="inlineStr">
        <is>
          <t>Operations</t>
        </is>
      </c>
      <c r="I265" s="7" t="inlineStr">
        <is>
          <t>South</t>
        </is>
      </c>
      <c r="J265" s="7" t="n">
        <v>115</v>
      </c>
      <c r="K265" s="7" t="n">
        <v>189.73</v>
      </c>
      <c r="L265" s="7" t="n">
        <v>21818.41</v>
      </c>
      <c r="M265" s="7" t="inlineStr">
        <is>
          <t>Overdue</t>
        </is>
      </c>
      <c r="N265" s="7">
        <f>IF(OR(E265="Apex Office Supplies",E265="Apex Office Supply Ltd"),"Apex Office Supplies",IF(OR(E265="Northstar IT Services",E265="North Star IT Svc"),"Northstar IT Services",IF(OR(E265="Metro Logistics",E265="Metro Logistics Pvt Ltd"),"Metro Logistics",E265)))</f>
        <v/>
      </c>
      <c r="O265" s="7">
        <f>IF(AND(ISNUMBER(L265),L265&gt;0),"Valid","Review")</f>
        <v/>
      </c>
      <c r="P265" s="7">
        <f>IF(OR(E265="",F265="",NOT(ISNUMBER(L265))),"Check Missing/Invalid Data","OK")</f>
        <v/>
      </c>
    </row>
    <row r="266">
      <c r="A266" s="7" t="inlineStr">
        <is>
          <t>PO-00225</t>
        </is>
      </c>
      <c r="B266" s="9" t="n">
        <v>45824</v>
      </c>
      <c r="C266" s="7" t="inlineStr">
        <is>
          <t>Invoice</t>
        </is>
      </c>
      <c r="D266" s="7" t="inlineStr">
        <is>
          <t>SUP011</t>
        </is>
      </c>
      <c r="E266" s="7">
        <f>IF(E266="","Unknown Supplier",TRIM(E266))</f>
        <v/>
      </c>
      <c r="F266" s="7">
        <f>IF(F266="","Unclassified",TRIM(F266))</f>
        <v/>
      </c>
      <c r="G266" s="7" t="inlineStr">
        <is>
          <t>Promotional materials</t>
        </is>
      </c>
      <c r="H266" s="7" t="inlineStr">
        <is>
          <t>Technology</t>
        </is>
      </c>
      <c r="I266" s="7" t="inlineStr">
        <is>
          <t>East</t>
        </is>
      </c>
      <c r="J266" s="7" t="n">
        <v>23</v>
      </c>
      <c r="K266" s="7" t="n">
        <v>298.16</v>
      </c>
      <c r="L266" s="7" t="n">
        <v>6857.63</v>
      </c>
      <c r="M266" s="7" t="inlineStr">
        <is>
          <t>Overdue</t>
        </is>
      </c>
      <c r="N266" s="7">
        <f>IF(OR(E266="Apex Office Supplies",E266="Apex Office Supply Ltd"),"Apex Office Supplies",IF(OR(E266="Northstar IT Services",E266="North Star IT Svc"),"Northstar IT Services",IF(OR(E266="Metro Logistics",E266="Metro Logistics Pvt Ltd"),"Metro Logistics",E266)))</f>
        <v/>
      </c>
      <c r="O266" s="7">
        <f>IF(AND(ISNUMBER(L266),L266&gt;0),"Valid","Review")</f>
        <v/>
      </c>
      <c r="P266" s="7">
        <f>IF(OR(E266="",F266="",NOT(ISNUMBER(L266))),"Check Missing/Invalid Data","OK")</f>
        <v/>
      </c>
    </row>
    <row r="267">
      <c r="A267" s="7" t="inlineStr">
        <is>
          <t>PO-00362</t>
        </is>
      </c>
      <c r="B267" s="9" t="n">
        <v>45825</v>
      </c>
      <c r="C267" s="7" t="inlineStr">
        <is>
          <t>Invoice</t>
        </is>
      </c>
      <c r="D267" s="7" t="inlineStr">
        <is>
          <t>SUP003</t>
        </is>
      </c>
      <c r="E267" s="7">
        <f>IF(E267="","Unknown Supplier",TRIM(E267))</f>
        <v/>
      </c>
      <c r="F267" s="7">
        <f>IF(F267="","Unclassified",TRIM(F267))</f>
        <v/>
      </c>
      <c r="G267" s="7" t="inlineStr">
        <is>
          <t>IT consulting</t>
        </is>
      </c>
      <c r="H267" s="7" t="inlineStr">
        <is>
          <t>Corporate</t>
        </is>
      </c>
      <c r="I267" s="7" t="inlineStr">
        <is>
          <t>East</t>
        </is>
      </c>
      <c r="J267" s="7" t="n">
        <v>46</v>
      </c>
      <c r="K267" s="7" t="n">
        <v>168.45</v>
      </c>
      <c r="L267" s="7" t="n">
        <v>7748.86</v>
      </c>
      <c r="M267" s="7" t="inlineStr">
        <is>
          <t>Pending</t>
        </is>
      </c>
      <c r="N267" s="7">
        <f>IF(OR(E267="Apex Office Supplies",E267="Apex Office Supply Ltd"),"Apex Office Supplies",IF(OR(E267="Northstar IT Services",E267="North Star IT Svc"),"Northstar IT Services",IF(OR(E267="Metro Logistics",E267="Metro Logistics Pvt Ltd"),"Metro Logistics",E267)))</f>
        <v/>
      </c>
      <c r="O267" s="7">
        <f>IF(AND(ISNUMBER(L267),L267&gt;0),"Valid","Review")</f>
        <v/>
      </c>
      <c r="P267" s="7">
        <f>IF(OR(E267="",F267="",NOT(ISNUMBER(L267))),"Check Missing/Invalid Data","OK")</f>
        <v/>
      </c>
    </row>
    <row r="268">
      <c r="A268" s="7" t="inlineStr">
        <is>
          <t>PO-00120</t>
        </is>
      </c>
      <c r="B268" s="9" t="n">
        <v>45825</v>
      </c>
      <c r="C268" s="7" t="inlineStr">
        <is>
          <t>Goods Receipt</t>
        </is>
      </c>
      <c r="D268" s="7" t="inlineStr">
        <is>
          <t>SUP012</t>
        </is>
      </c>
      <c r="E268" s="7">
        <f>IF(E268="","Unknown Supplier",TRIM(E268))</f>
        <v/>
      </c>
      <c r="F268" s="7">
        <f>IF(F268="","Unclassified",TRIM(F268))</f>
        <v/>
      </c>
      <c r="G268" s="7" t="inlineStr">
        <is>
          <t>Equipment servicing</t>
        </is>
      </c>
      <c r="H268" s="7" t="inlineStr">
        <is>
          <t>Manufacturing</t>
        </is>
      </c>
      <c r="I268" s="7" t="inlineStr">
        <is>
          <t>East</t>
        </is>
      </c>
      <c r="J268" s="7" t="n">
        <v>101</v>
      </c>
      <c r="K268" s="7" t="n">
        <v>36.73</v>
      </c>
      <c r="L268" s="7" t="n">
        <v>3710.21</v>
      </c>
      <c r="M268" s="7" t="inlineStr">
        <is>
          <t>Paid</t>
        </is>
      </c>
      <c r="N268" s="7">
        <f>IF(OR(E268="Apex Office Supplies",E268="Apex Office Supply Ltd"),"Apex Office Supplies",IF(OR(E268="Northstar IT Services",E268="North Star IT Svc"),"Northstar IT Services",IF(OR(E268="Metro Logistics",E268="Metro Logistics Pvt Ltd"),"Metro Logistics",E268)))</f>
        <v/>
      </c>
      <c r="O268" s="7">
        <f>IF(AND(ISNUMBER(L268),L268&gt;0),"Valid","Review")</f>
        <v/>
      </c>
      <c r="P268" s="7">
        <f>IF(OR(E268="",F268="",NOT(ISNUMBER(L268))),"Check Missing/Invalid Data","OK")</f>
        <v/>
      </c>
    </row>
    <row r="269">
      <c r="A269" s="7" t="inlineStr">
        <is>
          <t>PO-00352</t>
        </is>
      </c>
      <c r="B269" s="9" t="n">
        <v>45825</v>
      </c>
      <c r="C269" s="7" t="inlineStr">
        <is>
          <t>Invoice</t>
        </is>
      </c>
      <c r="D269" s="7" t="inlineStr">
        <is>
          <t>SUP002</t>
        </is>
      </c>
      <c r="E269" s="7">
        <f>IF(E269="","Unknown Supplier",TRIM(E269))</f>
        <v/>
      </c>
      <c r="F269" s="7">
        <f>IF(F269="","Unclassified",TRIM(F269))</f>
        <v/>
      </c>
      <c r="G269" s="7" t="inlineStr">
        <is>
          <t>Toner cartridges</t>
        </is>
      </c>
      <c r="H269" s="7" t="inlineStr">
        <is>
          <t>Technology</t>
        </is>
      </c>
      <c r="I269" s="7" t="inlineStr">
        <is>
          <t>South</t>
        </is>
      </c>
      <c r="J269" s="7" t="n">
        <v>26</v>
      </c>
      <c r="K269" s="7" t="n">
        <v>10.1</v>
      </c>
      <c r="L269" s="7" t="n">
        <v>262.49</v>
      </c>
      <c r="M269" s="7" t="inlineStr">
        <is>
          <t>Pending</t>
        </is>
      </c>
      <c r="N269" s="7">
        <f>IF(OR(E269="Apex Office Supplies",E269="Apex Office Supply Ltd"),"Apex Office Supplies",IF(OR(E269="Northstar IT Services",E269="North Star IT Svc"),"Northstar IT Services",IF(OR(E269="Metro Logistics",E269="Metro Logistics Pvt Ltd"),"Metro Logistics",E269)))</f>
        <v/>
      </c>
      <c r="O269" s="7">
        <f>IF(AND(ISNUMBER(L269),L269&gt;0),"Valid","Review")</f>
        <v/>
      </c>
      <c r="P269" s="7">
        <f>IF(OR(E269="",F269="",NOT(ISNUMBER(L269))),"Check Missing/Invalid Data","OK")</f>
        <v/>
      </c>
    </row>
    <row r="270">
      <c r="A270" s="7" t="inlineStr">
        <is>
          <t>PO-00132</t>
        </is>
      </c>
      <c r="B270" s="9" t="n">
        <v>45826</v>
      </c>
      <c r="C270" s="7" t="inlineStr">
        <is>
          <t>Purchase Order</t>
        </is>
      </c>
      <c r="D270" s="7" t="inlineStr">
        <is>
          <t>SUP003</t>
        </is>
      </c>
      <c r="E270" s="7">
        <f>IF(E270="","Unknown Supplier",TRIM(E270))</f>
        <v/>
      </c>
      <c r="F270" s="7">
        <f>IF(F270="","Unclassified",TRIM(F270))</f>
        <v/>
      </c>
      <c r="G270" s="7" t="inlineStr">
        <is>
          <t>Software support</t>
        </is>
      </c>
      <c r="H270" s="7" t="inlineStr">
        <is>
          <t>Manufacturing</t>
        </is>
      </c>
      <c r="I270" s="7" t="inlineStr">
        <is>
          <t>East</t>
        </is>
      </c>
      <c r="J270" s="7" t="n">
        <v>36</v>
      </c>
      <c r="K270" s="7" t="n">
        <v>508.87</v>
      </c>
      <c r="L270" s="7" t="n">
        <v>18319.46</v>
      </c>
      <c r="M270" s="7" t="inlineStr">
        <is>
          <t>Paid</t>
        </is>
      </c>
      <c r="N270" s="7">
        <f>IF(OR(E270="Apex Office Supplies",E270="Apex Office Supply Ltd"),"Apex Office Supplies",IF(OR(E270="Northstar IT Services",E270="North Star IT Svc"),"Northstar IT Services",IF(OR(E270="Metro Logistics",E270="Metro Logistics Pvt Ltd"),"Metro Logistics",E270)))</f>
        <v/>
      </c>
      <c r="O270" s="7">
        <f>IF(AND(ISNUMBER(L270),L270&gt;0),"Valid","Review")</f>
        <v/>
      </c>
      <c r="P270" s="7">
        <f>IF(OR(E270="",F270="",NOT(ISNUMBER(L270))),"Check Missing/Invalid Data","OK")</f>
        <v/>
      </c>
    </row>
    <row r="271">
      <c r="A271" s="7" t="inlineStr">
        <is>
          <t>PO-00451</t>
        </is>
      </c>
      <c r="B271" s="9" t="n">
        <v>45827</v>
      </c>
      <c r="C271" s="7" t="inlineStr">
        <is>
          <t>Invoice</t>
        </is>
      </c>
      <c r="D271" s="7" t="inlineStr">
        <is>
          <t>SUP005</t>
        </is>
      </c>
      <c r="E271" s="7">
        <f>IF(E271="","Unknown Supplier",TRIM(E271))</f>
        <v/>
      </c>
      <c r="F271" s="7">
        <f>IF(F271="","Unclassified",TRIM(F271))</f>
        <v/>
      </c>
      <c r="G271" s="7" t="inlineStr">
        <is>
          <t>Cleaning services</t>
        </is>
      </c>
      <c r="H271" s="7" t="inlineStr">
        <is>
          <t>Corporate</t>
        </is>
      </c>
      <c r="I271" s="7" t="inlineStr">
        <is>
          <t>West</t>
        </is>
      </c>
      <c r="J271" s="7" t="n">
        <v>49</v>
      </c>
      <c r="K271" s="7" t="n">
        <v>203.32</v>
      </c>
      <c r="L271" s="7" t="n">
        <v>9962.860000000001</v>
      </c>
      <c r="M271" s="7" t="inlineStr">
        <is>
          <t>Pending</t>
        </is>
      </c>
      <c r="N271" s="7">
        <f>IF(OR(E271="Apex Office Supplies",E271="Apex Office Supply Ltd"),"Apex Office Supplies",IF(OR(E271="Northstar IT Services",E271="North Star IT Svc"),"Northstar IT Services",IF(OR(E271="Metro Logistics",E271="Metro Logistics Pvt Ltd"),"Metro Logistics",E271)))</f>
        <v/>
      </c>
      <c r="O271" s="7">
        <f>IF(AND(ISNUMBER(L271),L271&gt;0),"Valid","Review")</f>
        <v/>
      </c>
      <c r="P271" s="7">
        <f>IF(OR(E271="",F271="",NOT(ISNUMBER(L271))),"Check Missing/Invalid Data","OK")</f>
        <v/>
      </c>
    </row>
    <row r="272">
      <c r="A272" s="7" t="inlineStr">
        <is>
          <t>PO-00482</t>
        </is>
      </c>
      <c r="B272" s="9" t="n">
        <v>45827</v>
      </c>
      <c r="C272" s="7" t="inlineStr">
        <is>
          <t>Invoice</t>
        </is>
      </c>
      <c r="D272" s="7" t="inlineStr">
        <is>
          <t>SUP001</t>
        </is>
      </c>
      <c r="E272" s="7">
        <f>IF(E272="","Unknown Supplier",TRIM(E272))</f>
        <v/>
      </c>
      <c r="F272" s="7">
        <f>IF(F272="","Unclassified",TRIM(F272))</f>
        <v/>
      </c>
      <c r="G272" s="7" t="inlineStr">
        <is>
          <t>Toner cartridges</t>
        </is>
      </c>
      <c r="H272" s="7" t="inlineStr">
        <is>
          <t>Corporate</t>
        </is>
      </c>
      <c r="I272" s="7" t="inlineStr">
        <is>
          <t>South</t>
        </is>
      </c>
      <c r="J272" s="7" t="n">
        <v>102</v>
      </c>
      <c r="K272" s="7" t="n">
        <v>10.69</v>
      </c>
      <c r="L272" s="7" t="n">
        <v>1090.31</v>
      </c>
      <c r="M272" s="7" t="inlineStr">
        <is>
          <t>Pending</t>
        </is>
      </c>
      <c r="N272" s="7">
        <f>IF(OR(E272="Apex Office Supplies",E272="Apex Office Supply Ltd"),"Apex Office Supplies",IF(OR(E272="Northstar IT Services",E272="North Star IT Svc"),"Northstar IT Services",IF(OR(E272="Metro Logistics",E272="Metro Logistics Pvt Ltd"),"Metro Logistics",E272)))</f>
        <v/>
      </c>
      <c r="O272" s="7">
        <f>IF(AND(ISNUMBER(L272),L272&gt;0),"Valid","Review")</f>
        <v/>
      </c>
      <c r="P272" s="7">
        <f>IF(OR(E272="",F272="",NOT(ISNUMBER(L272))),"Check Missing/Invalid Data","OK")</f>
        <v/>
      </c>
    </row>
    <row r="273">
      <c r="A273" s="7" t="inlineStr">
        <is>
          <t>PO-00260</t>
        </is>
      </c>
      <c r="B273" s="9" t="n">
        <v>45827</v>
      </c>
      <c r="C273" s="7" t="inlineStr">
        <is>
          <t>Purchase Order</t>
        </is>
      </c>
      <c r="D273" s="7" t="inlineStr">
        <is>
          <t>SUP011</t>
        </is>
      </c>
      <c r="E273" s="7">
        <f>IF(E273="","Unknown Supplier",TRIM(E273))</f>
        <v/>
      </c>
      <c r="F273" s="7">
        <f>IF(F273="","Unclassified",TRIM(F273))</f>
        <v/>
      </c>
      <c r="G273" s="7" t="inlineStr">
        <is>
          <t>Promotional materials</t>
        </is>
      </c>
      <c r="H273" s="7" t="inlineStr">
        <is>
          <t>Operations</t>
        </is>
      </c>
      <c r="I273" s="7" t="inlineStr">
        <is>
          <t>North</t>
        </is>
      </c>
      <c r="J273" s="7" t="n">
        <v>48</v>
      </c>
      <c r="K273" s="7" t="n">
        <v>170.05</v>
      </c>
      <c r="L273" s="7" t="n">
        <v>8162.19</v>
      </c>
      <c r="M273" s="7" t="inlineStr">
        <is>
          <t>Pending</t>
        </is>
      </c>
      <c r="N273" s="7">
        <f>IF(OR(E273="Apex Office Supplies",E273="Apex Office Supply Ltd"),"Apex Office Supplies",IF(OR(E273="Northstar IT Services",E273="North Star IT Svc"),"Northstar IT Services",IF(OR(E273="Metro Logistics",E273="Metro Logistics Pvt Ltd"),"Metro Logistics",E273)))</f>
        <v/>
      </c>
      <c r="O273" s="7">
        <f>IF(AND(ISNUMBER(L273),L273&gt;0),"Valid","Review")</f>
        <v/>
      </c>
      <c r="P273" s="7">
        <f>IF(OR(E273="",F273="",NOT(ISNUMBER(L273))),"Check Missing/Invalid Data","OK")</f>
        <v/>
      </c>
    </row>
    <row r="274">
      <c r="A274" s="7" t="inlineStr">
        <is>
          <t>PO-00131</t>
        </is>
      </c>
      <c r="B274" s="9" t="n">
        <v>45828</v>
      </c>
      <c r="C274" s="7" t="inlineStr">
        <is>
          <t>Purchase Order</t>
        </is>
      </c>
      <c r="D274" s="7" t="inlineStr">
        <is>
          <t>SUP004</t>
        </is>
      </c>
      <c r="E274" s="7">
        <f>IF(E274="","Unknown Supplier",TRIM(E274))</f>
        <v/>
      </c>
      <c r="F274" s="7">
        <f>IF(F274="","Unclassified",TRIM(F274))</f>
        <v/>
      </c>
      <c r="G274" s="7" t="inlineStr">
        <is>
          <t>IT consulting</t>
        </is>
      </c>
      <c r="H274" s="7" t="inlineStr">
        <is>
          <t>Operations</t>
        </is>
      </c>
      <c r="I274" s="7" t="inlineStr">
        <is>
          <t>South</t>
        </is>
      </c>
      <c r="J274" s="7" t="n">
        <v>27</v>
      </c>
      <c r="K274" s="7" t="n">
        <v>893.52</v>
      </c>
      <c r="L274" s="7" t="n">
        <v>24124.99</v>
      </c>
      <c r="M274" s="7" t="inlineStr">
        <is>
          <t>Paid</t>
        </is>
      </c>
      <c r="N274" s="7">
        <f>IF(OR(E274="Apex Office Supplies",E274="Apex Office Supply Ltd"),"Apex Office Supplies",IF(OR(E274="Northstar IT Services",E274="North Star IT Svc"),"Northstar IT Services",IF(OR(E274="Metro Logistics",E274="Metro Logistics Pvt Ltd"),"Metro Logistics",E274)))</f>
        <v/>
      </c>
      <c r="O274" s="7">
        <f>IF(AND(ISNUMBER(L274),L274&gt;0),"Valid","Review")</f>
        <v/>
      </c>
      <c r="P274" s="7">
        <f>IF(OR(E274="",F274="",NOT(ISNUMBER(L274))),"Check Missing/Invalid Data","OK")</f>
        <v/>
      </c>
    </row>
    <row r="275">
      <c r="A275" s="7" t="inlineStr">
        <is>
          <t>PO-00184</t>
        </is>
      </c>
      <c r="B275" s="9" t="n">
        <v>45828</v>
      </c>
      <c r="C275" s="7" t="inlineStr">
        <is>
          <t>Purchase Order</t>
        </is>
      </c>
      <c r="D275" s="7" t="inlineStr">
        <is>
          <t>SUP003</t>
        </is>
      </c>
      <c r="E275" s="7">
        <f>IF(E275="","Unknown Supplier",TRIM(E275))</f>
        <v/>
      </c>
      <c r="F275" s="7">
        <f>IF(F275="","Unclassified",TRIM(F275))</f>
        <v/>
      </c>
      <c r="G275" s="7" t="inlineStr">
        <is>
          <t>Tools and supplies</t>
        </is>
      </c>
      <c r="H275" s="7" t="inlineStr">
        <is>
          <t>Sales</t>
        </is>
      </c>
      <c r="I275" s="7" t="inlineStr">
        <is>
          <t>West</t>
        </is>
      </c>
      <c r="J275" s="7" t="n">
        <v>83</v>
      </c>
      <c r="K275" s="7" t="n">
        <v>74.38</v>
      </c>
      <c r="L275" s="7" t="n">
        <v>6173.22</v>
      </c>
      <c r="M275" s="7" t="inlineStr">
        <is>
          <t>Overdue</t>
        </is>
      </c>
      <c r="N275" s="7">
        <f>IF(OR(E275="Apex Office Supplies",E275="Apex Office Supply Ltd"),"Apex Office Supplies",IF(OR(E275="Northstar IT Services",E275="North Star IT Svc"),"Northstar IT Services",IF(OR(E275="Metro Logistics",E275="Metro Logistics Pvt Ltd"),"Metro Logistics",E275)))</f>
        <v/>
      </c>
      <c r="O275" s="7">
        <f>IF(AND(ISNUMBER(L275),L275&gt;0),"Valid","Review")</f>
        <v/>
      </c>
      <c r="P275" s="7">
        <f>IF(OR(E275="",F275="",NOT(ISNUMBER(L275))),"Check Missing/Invalid Data","OK")</f>
        <v/>
      </c>
    </row>
    <row r="276">
      <c r="A276" s="7" t="inlineStr">
        <is>
          <t>PO-00156</t>
        </is>
      </c>
      <c r="B276" s="9" t="n">
        <v>45828</v>
      </c>
      <c r="C276" s="7" t="inlineStr">
        <is>
          <t>Goods Receipt</t>
        </is>
      </c>
      <c r="D276" s="7" t="inlineStr">
        <is>
          <t>SUP003</t>
        </is>
      </c>
      <c r="E276" s="7">
        <f>IF(E276="","Unknown Supplier",TRIM(E276))</f>
        <v/>
      </c>
      <c r="F276" s="7">
        <f>IF(F276="","Unclassified",TRIM(F276))</f>
        <v/>
      </c>
      <c r="G276" s="7" t="inlineStr">
        <is>
          <t>Software support</t>
        </is>
      </c>
      <c r="H276" s="7" t="inlineStr">
        <is>
          <t>Technology</t>
        </is>
      </c>
      <c r="I276" s="7" t="inlineStr">
        <is>
          <t>East</t>
        </is>
      </c>
      <c r="J276" s="7" t="n">
        <v>68</v>
      </c>
      <c r="K276" s="7" t="n">
        <v>286.05</v>
      </c>
      <c r="L276" s="7" t="n">
        <v>19451.5</v>
      </c>
      <c r="M276" s="7" t="inlineStr">
        <is>
          <t>Overdue</t>
        </is>
      </c>
      <c r="N276" s="7">
        <f>IF(OR(E276="Apex Office Supplies",E276="Apex Office Supply Ltd"),"Apex Office Supplies",IF(OR(E276="Northstar IT Services",E276="North Star IT Svc"),"Northstar IT Services",IF(OR(E276="Metro Logistics",E276="Metro Logistics Pvt Ltd"),"Metro Logistics",E276)))</f>
        <v/>
      </c>
      <c r="O276" s="7">
        <f>IF(AND(ISNUMBER(L276),L276&gt;0),"Valid","Review")</f>
        <v/>
      </c>
      <c r="P276" s="7">
        <f>IF(OR(E276="",F276="",NOT(ISNUMBER(L276))),"Check Missing/Invalid Data","OK")</f>
        <v/>
      </c>
    </row>
    <row r="277">
      <c r="A277" s="7" t="inlineStr">
        <is>
          <t>PO-00548</t>
        </is>
      </c>
      <c r="B277" s="9" t="n">
        <v>45829</v>
      </c>
      <c r="C277" s="7" t="inlineStr">
        <is>
          <t>Invoice</t>
        </is>
      </c>
      <c r="D277" s="7" t="inlineStr">
        <is>
          <t>SUP005</t>
        </is>
      </c>
      <c r="E277" s="7">
        <f>IF(E277="","Unknown Supplier",TRIM(E277))</f>
        <v/>
      </c>
      <c r="F277" s="7">
        <f>IF(F277="","Unclassified",TRIM(F277))</f>
        <v/>
      </c>
      <c r="G277" s="7" t="inlineStr">
        <is>
          <t>Courier services</t>
        </is>
      </c>
      <c r="H277" s="7" t="inlineStr">
        <is>
          <t>Corporate</t>
        </is>
      </c>
      <c r="I277" s="7" t="inlineStr">
        <is>
          <t>West</t>
        </is>
      </c>
      <c r="J277" s="7" t="n">
        <v>120</v>
      </c>
      <c r="K277" s="7" t="n">
        <v>143.64</v>
      </c>
      <c r="L277" s="7" t="n">
        <v>17236.4</v>
      </c>
      <c r="M277" s="7" t="inlineStr">
        <is>
          <t>Paid</t>
        </is>
      </c>
      <c r="N277" s="7">
        <f>IF(OR(E277="Apex Office Supplies",E277="Apex Office Supply Ltd"),"Apex Office Supplies",IF(OR(E277="Northstar IT Services",E277="North Star IT Svc"),"Northstar IT Services",IF(OR(E277="Metro Logistics",E277="Metro Logistics Pvt Ltd"),"Metro Logistics",E277)))</f>
        <v/>
      </c>
      <c r="O277" s="7">
        <f>IF(AND(ISNUMBER(L277),L277&gt;0),"Valid","Review")</f>
        <v/>
      </c>
      <c r="P277" s="7">
        <f>IF(OR(E277="",F277="",NOT(ISNUMBER(L277))),"Check Missing/Invalid Data","OK")</f>
        <v/>
      </c>
    </row>
    <row r="278">
      <c r="A278" s="7" t="inlineStr">
        <is>
          <t>PO-00065</t>
        </is>
      </c>
      <c r="B278" s="9" t="n">
        <v>45830</v>
      </c>
      <c r="C278" s="7" t="inlineStr">
        <is>
          <t>Invoice</t>
        </is>
      </c>
      <c r="D278" s="7" t="inlineStr">
        <is>
          <t>SUP007</t>
        </is>
      </c>
      <c r="E278" s="7">
        <f>IF(E278="","Unknown Supplier",TRIM(E278))</f>
        <v/>
      </c>
      <c r="F278" s="7">
        <f>IF(F278="","Unclassified",TRIM(F278))</f>
        <v/>
      </c>
      <c r="G278" s="7" t="inlineStr">
        <is>
          <t>Cleaning services</t>
        </is>
      </c>
      <c r="H278" s="7" t="inlineStr">
        <is>
          <t>Sales</t>
        </is>
      </c>
      <c r="I278" s="7" t="inlineStr">
        <is>
          <t>North</t>
        </is>
      </c>
      <c r="J278" s="7" t="n">
        <v>54</v>
      </c>
      <c r="K278" s="7" t="n">
        <v>317.18</v>
      </c>
      <c r="L278" s="7" t="n">
        <v>17127.53</v>
      </c>
      <c r="M278" s="7" t="inlineStr">
        <is>
          <t>Overdue</t>
        </is>
      </c>
      <c r="N278" s="7">
        <f>IF(OR(E278="Apex Office Supplies",E278="Apex Office Supply Ltd"),"Apex Office Supplies",IF(OR(E278="Northstar IT Services",E278="North Star IT Svc"),"Northstar IT Services",IF(OR(E278="Metro Logistics",E278="Metro Logistics Pvt Ltd"),"Metro Logistics",E278)))</f>
        <v/>
      </c>
      <c r="O278" s="7">
        <f>IF(AND(ISNUMBER(L278),L278&gt;0),"Valid","Review")</f>
        <v/>
      </c>
      <c r="P278" s="7">
        <f>IF(OR(E278="",F278="",NOT(ISNUMBER(L278))),"Check Missing/Invalid Data","OK")</f>
        <v/>
      </c>
    </row>
    <row r="279">
      <c r="A279" s="7" t="inlineStr">
        <is>
          <t>PO-00170</t>
        </is>
      </c>
      <c r="B279" s="9" t="n">
        <v>45830</v>
      </c>
      <c r="C279" s="7" t="inlineStr">
        <is>
          <t>Purchase Order</t>
        </is>
      </c>
      <c r="D279" s="7" t="inlineStr">
        <is>
          <t>SUP010</t>
        </is>
      </c>
      <c r="E279" s="7">
        <f>IF(E279="","Unknown Supplier",TRIM(E279))</f>
        <v/>
      </c>
      <c r="F279" s="7">
        <f>IF(F279="","Unclassified",TRIM(F279))</f>
        <v/>
      </c>
      <c r="G279" s="7" t="inlineStr">
        <is>
          <t>Natural gas</t>
        </is>
      </c>
      <c r="H279" s="7" t="inlineStr">
        <is>
          <t>Manufacturing</t>
        </is>
      </c>
      <c r="I279" s="7" t="inlineStr">
        <is>
          <t>South</t>
        </is>
      </c>
      <c r="J279" s="7" t="n">
        <v>21</v>
      </c>
      <c r="K279" s="7" t="n">
        <v>326.46</v>
      </c>
      <c r="L279" s="7" t="n">
        <v>6855.75</v>
      </c>
      <c r="M279" s="7" t="inlineStr">
        <is>
          <t>Overdue</t>
        </is>
      </c>
      <c r="N279" s="7">
        <f>IF(OR(E279="Apex Office Supplies",E279="Apex Office Supply Ltd"),"Apex Office Supplies",IF(OR(E279="Northstar IT Services",E279="North Star IT Svc"),"Northstar IT Services",IF(OR(E279="Metro Logistics",E279="Metro Logistics Pvt Ltd"),"Metro Logistics",E279)))</f>
        <v/>
      </c>
      <c r="O279" s="7">
        <f>IF(AND(ISNUMBER(L279),L279&gt;0),"Valid","Review")</f>
        <v/>
      </c>
      <c r="P279" s="7">
        <f>IF(OR(E279="",F279="",NOT(ISNUMBER(L279))),"Check Missing/Invalid Data","OK")</f>
        <v/>
      </c>
    </row>
    <row r="280">
      <c r="A280" s="7" t="inlineStr">
        <is>
          <t>PO-00025</t>
        </is>
      </c>
      <c r="B280" s="9" t="n">
        <v>45831</v>
      </c>
      <c r="C280" s="7" t="inlineStr">
        <is>
          <t>Purchase Order</t>
        </is>
      </c>
      <c r="D280" s="7" t="inlineStr">
        <is>
          <t>SUP002</t>
        </is>
      </c>
      <c r="E280" s="7">
        <f>IF(E280="","Unknown Supplier",TRIM(E280))</f>
        <v/>
      </c>
      <c r="F280" s="7">
        <f>IF(F280="","Unclassified",TRIM(F280))</f>
        <v/>
      </c>
      <c r="G280" s="7" t="inlineStr">
        <is>
          <t>Pens and stationery</t>
        </is>
      </c>
      <c r="H280" s="7" t="inlineStr">
        <is>
          <t>Operations</t>
        </is>
      </c>
      <c r="I280" s="7" t="inlineStr">
        <is>
          <t>East</t>
        </is>
      </c>
      <c r="J280" s="7" t="n">
        <v>58</v>
      </c>
      <c r="K280" s="7" t="n">
        <v>60.71</v>
      </c>
      <c r="M280" s="7" t="inlineStr">
        <is>
          <t>Pending</t>
        </is>
      </c>
      <c r="N280" s="7">
        <f>IF(OR(E280="Apex Office Supplies",E280="Apex Office Supply Ltd"),"Apex Office Supplies",IF(OR(E280="Northstar IT Services",E280="North Star IT Svc"),"Northstar IT Services",IF(OR(E280="Metro Logistics",E280="Metro Logistics Pvt Ltd"),"Metro Logistics",E280)))</f>
        <v/>
      </c>
      <c r="O280" s="7">
        <f>IF(AND(ISNUMBER(L280),L280&gt;0),"Valid","Review")</f>
        <v/>
      </c>
      <c r="P280" s="7">
        <f>IF(OR(E280="",F280="",NOT(ISNUMBER(L280))),"Check Missing/Invalid Data","OK")</f>
        <v/>
      </c>
    </row>
    <row r="281">
      <c r="A281" s="7" t="inlineStr">
        <is>
          <t>PO-00448</t>
        </is>
      </c>
      <c r="B281" s="9" t="n">
        <v>45831</v>
      </c>
      <c r="C281" s="7" t="inlineStr">
        <is>
          <t>Invoice</t>
        </is>
      </c>
      <c r="D281" s="7" t="inlineStr">
        <is>
          <t>SUP009</t>
        </is>
      </c>
      <c r="E281" s="7">
        <f>IF(E281="","Unknown Supplier",TRIM(E281))</f>
        <v/>
      </c>
      <c r="F281" s="7">
        <f>IF(F281="","Unclassified",TRIM(F281))</f>
        <v/>
      </c>
      <c r="G281" s="7" t="inlineStr">
        <is>
          <t>Audit support</t>
        </is>
      </c>
      <c r="H281" s="7" t="inlineStr">
        <is>
          <t>Operations</t>
        </is>
      </c>
      <c r="I281" s="7" t="inlineStr">
        <is>
          <t>West</t>
        </is>
      </c>
      <c r="J281" s="7" t="n">
        <v>13</v>
      </c>
      <c r="K281" s="7" t="n">
        <v>1653.76</v>
      </c>
      <c r="L281" s="7" t="n">
        <v>21498.84</v>
      </c>
      <c r="M281" s="7" t="inlineStr">
        <is>
          <t>Pending</t>
        </is>
      </c>
      <c r="N281" s="7">
        <f>IF(OR(E281="Apex Office Supplies",E281="Apex Office Supply Ltd"),"Apex Office Supplies",IF(OR(E281="Northstar IT Services",E281="North Star IT Svc"),"Northstar IT Services",IF(OR(E281="Metro Logistics",E281="Metro Logistics Pvt Ltd"),"Metro Logistics",E281)))</f>
        <v/>
      </c>
      <c r="O281" s="7">
        <f>IF(AND(ISNUMBER(L281),L281&gt;0),"Valid","Review")</f>
        <v/>
      </c>
      <c r="P281" s="7">
        <f>IF(OR(E281="",F281="",NOT(ISNUMBER(L281))),"Check Missing/Invalid Data","OK")</f>
        <v/>
      </c>
    </row>
    <row r="282">
      <c r="A282" s="7" t="inlineStr">
        <is>
          <t>PO-00458</t>
        </is>
      </c>
      <c r="B282" s="9" t="n">
        <v>45831</v>
      </c>
      <c r="C282" s="7" t="inlineStr">
        <is>
          <t>Goods Receipt</t>
        </is>
      </c>
      <c r="D282" s="7" t="inlineStr">
        <is>
          <t>SUP002</t>
        </is>
      </c>
      <c r="E282" s="7">
        <f>IF(E282="","Unknown Supplier",TRIM(E282))</f>
        <v/>
      </c>
      <c r="F282" s="7">
        <f>IF(F282="","Unclassified",TRIM(F282))</f>
        <v/>
      </c>
      <c r="G282" s="7" t="inlineStr">
        <is>
          <t>Toner cartridges</t>
        </is>
      </c>
      <c r="H282" s="7" t="inlineStr">
        <is>
          <t>Corporate</t>
        </is>
      </c>
      <c r="I282" s="7" t="inlineStr">
        <is>
          <t>West</t>
        </is>
      </c>
      <c r="J282" s="7" t="n">
        <v>82</v>
      </c>
      <c r="K282" s="7" t="n">
        <v>11.6</v>
      </c>
      <c r="L282" s="7" t="n">
        <v>951.4299999999999</v>
      </c>
      <c r="M282" s="7" t="inlineStr">
        <is>
          <t>Pending</t>
        </is>
      </c>
      <c r="N282" s="7">
        <f>IF(OR(E282="Apex Office Supplies",E282="Apex Office Supply Ltd"),"Apex Office Supplies",IF(OR(E282="Northstar IT Services",E282="North Star IT Svc"),"Northstar IT Services",IF(OR(E282="Metro Logistics",E282="Metro Logistics Pvt Ltd"),"Metro Logistics",E282)))</f>
        <v/>
      </c>
      <c r="O282" s="7">
        <f>IF(AND(ISNUMBER(L282),L282&gt;0),"Valid","Review")</f>
        <v/>
      </c>
      <c r="P282" s="7">
        <f>IF(OR(E282="",F282="",NOT(ISNUMBER(L282))),"Check Missing/Invalid Data","OK")</f>
        <v/>
      </c>
    </row>
    <row r="283">
      <c r="A283" s="7" t="inlineStr">
        <is>
          <t>PO-00209</t>
        </is>
      </c>
      <c r="B283" s="9" t="n">
        <v>45832</v>
      </c>
      <c r="C283" s="7" t="inlineStr">
        <is>
          <t>Goods Receipt</t>
        </is>
      </c>
      <c r="D283" s="7" t="inlineStr">
        <is>
          <t>SUP010</t>
        </is>
      </c>
      <c r="E283" s="7">
        <f>IF(E283="","Unknown Supplier",TRIM(E283))</f>
        <v/>
      </c>
      <c r="F283" s="7">
        <f>IF(F283="","Unclassified",TRIM(F283))</f>
        <v/>
      </c>
      <c r="G283" s="7" t="inlineStr">
        <is>
          <t>Water services</t>
        </is>
      </c>
      <c r="H283" s="7" t="inlineStr">
        <is>
          <t>Sales</t>
        </is>
      </c>
      <c r="I283" s="7" t="inlineStr">
        <is>
          <t>South</t>
        </is>
      </c>
      <c r="J283" s="7" t="n">
        <v>41</v>
      </c>
      <c r="K283" s="7" t="n">
        <v>378.62</v>
      </c>
      <c r="L283" s="7" t="n">
        <v>15523.35</v>
      </c>
      <c r="M283" s="7" t="inlineStr">
        <is>
          <t>Pending</t>
        </is>
      </c>
      <c r="N283" s="7">
        <f>IF(OR(E283="Apex Office Supplies",E283="Apex Office Supply Ltd"),"Apex Office Supplies",IF(OR(E283="Northstar IT Services",E283="North Star IT Svc"),"Northstar IT Services",IF(OR(E283="Metro Logistics",E283="Metro Logistics Pvt Ltd"),"Metro Logistics",E283)))</f>
        <v/>
      </c>
      <c r="O283" s="7">
        <f>IF(AND(ISNUMBER(L283),L283&gt;0),"Valid","Review")</f>
        <v/>
      </c>
      <c r="P283" s="7">
        <f>IF(OR(E283="",F283="",NOT(ISNUMBER(L283))),"Check Missing/Invalid Data","OK")</f>
        <v/>
      </c>
    </row>
    <row r="284">
      <c r="A284" s="7" t="inlineStr">
        <is>
          <t>PO-00015</t>
        </is>
      </c>
      <c r="B284" s="9" t="n">
        <v>45832</v>
      </c>
      <c r="C284" s="7" t="inlineStr">
        <is>
          <t>Goods Receipt</t>
        </is>
      </c>
      <c r="D284" s="7" t="inlineStr">
        <is>
          <t>SUP002</t>
        </is>
      </c>
      <c r="E284" s="7">
        <f>IF(E284="","Unknown Supplier",TRIM(E284))</f>
        <v/>
      </c>
      <c r="F284" s="7">
        <f>IF(F284="","Unclassified",TRIM(F284))</f>
        <v/>
      </c>
      <c r="G284" s="7" t="inlineStr">
        <is>
          <t>Toner cartridges</t>
        </is>
      </c>
      <c r="H284" s="7" t="inlineStr">
        <is>
          <t>Technology</t>
        </is>
      </c>
      <c r="I284" s="7" t="inlineStr">
        <is>
          <t>South</t>
        </is>
      </c>
      <c r="J284" s="7" t="n">
        <v>1</v>
      </c>
      <c r="K284" s="7" t="n">
        <v>2947.86</v>
      </c>
      <c r="L284" s="7" t="n">
        <v>2947.86</v>
      </c>
      <c r="M284" s="7" t="inlineStr">
        <is>
          <t>Overdue</t>
        </is>
      </c>
      <c r="N284" s="7">
        <f>IF(OR(E284="Apex Office Supplies",E284="Apex Office Supply Ltd"),"Apex Office Supplies",IF(OR(E284="Northstar IT Services",E284="North Star IT Svc"),"Northstar IT Services",IF(OR(E284="Metro Logistics",E284="Metro Logistics Pvt Ltd"),"Metro Logistics",E284)))</f>
        <v/>
      </c>
      <c r="O284" s="7">
        <f>IF(AND(ISNUMBER(L284),L284&gt;0),"Valid","Review")</f>
        <v/>
      </c>
      <c r="P284" s="7">
        <f>IF(OR(E284="",F284="",NOT(ISNUMBER(L284))),"Check Missing/Invalid Data","OK")</f>
        <v/>
      </c>
    </row>
    <row r="285">
      <c r="A285" s="7" t="inlineStr">
        <is>
          <t>PO-00464</t>
        </is>
      </c>
      <c r="B285" s="9" t="n">
        <v>45834</v>
      </c>
      <c r="C285" s="7" t="inlineStr">
        <is>
          <t>Goods Receipt</t>
        </is>
      </c>
      <c r="D285" s="7" t="inlineStr">
        <is>
          <t>SUP011</t>
        </is>
      </c>
      <c r="E285" s="7">
        <f>IF(E285="","Unknown Supplier",TRIM(E285))</f>
        <v/>
      </c>
      <c r="F285" s="7">
        <f>IF(F285="","Unclassified",TRIM(F285))</f>
        <v/>
      </c>
      <c r="G285" s="7" t="inlineStr">
        <is>
          <t>Promotional materials</t>
        </is>
      </c>
      <c r="H285" s="7" t="inlineStr">
        <is>
          <t>Technology</t>
        </is>
      </c>
      <c r="I285" s="7" t="inlineStr">
        <is>
          <t>North</t>
        </is>
      </c>
      <c r="J285" s="7" t="n">
        <v>23</v>
      </c>
      <c r="K285" s="7" t="n">
        <v>557.47</v>
      </c>
      <c r="L285" s="7" t="n">
        <v>12821.89</v>
      </c>
      <c r="M285" s="7" t="inlineStr">
        <is>
          <t>Pending</t>
        </is>
      </c>
      <c r="N285" s="7">
        <f>IF(OR(E285="Apex Office Supplies",E285="Apex Office Supply Ltd"),"Apex Office Supplies",IF(OR(E285="Northstar IT Services",E285="North Star IT Svc"),"Northstar IT Services",IF(OR(E285="Metro Logistics",E285="Metro Logistics Pvt Ltd"),"Metro Logistics",E285)))</f>
        <v/>
      </c>
      <c r="O285" s="7">
        <f>IF(AND(ISNUMBER(L285),L285&gt;0),"Valid","Review")</f>
        <v/>
      </c>
      <c r="P285" s="7">
        <f>IF(OR(E285="",F285="",NOT(ISNUMBER(L285))),"Check Missing/Invalid Data","OK")</f>
        <v/>
      </c>
    </row>
    <row r="286">
      <c r="A286" s="7" t="inlineStr">
        <is>
          <t>PO-00540</t>
        </is>
      </c>
      <c r="B286" s="9" t="n">
        <v>45835</v>
      </c>
      <c r="C286" s="7" t="inlineStr">
        <is>
          <t>Purchase Order</t>
        </is>
      </c>
      <c r="D286" s="7" t="inlineStr">
        <is>
          <t>SUP007</t>
        </is>
      </c>
      <c r="E286" s="7">
        <f>IF(E286="","Unknown Supplier",TRIM(E286))</f>
        <v/>
      </c>
      <c r="F286" s="7">
        <f>IF(F286="","Unclassified",TRIM(F286))</f>
        <v/>
      </c>
      <c r="G286" s="7" t="inlineStr">
        <is>
          <t>Security services</t>
        </is>
      </c>
      <c r="H286" s="7" t="inlineStr">
        <is>
          <t>Manufacturing</t>
        </is>
      </c>
      <c r="I286" s="7" t="inlineStr">
        <is>
          <t>West</t>
        </is>
      </c>
      <c r="J286" s="7" t="n">
        <v>59</v>
      </c>
      <c r="K286" s="7" t="n">
        <v>237.17</v>
      </c>
      <c r="L286" s="7" t="n">
        <v>13993.16</v>
      </c>
      <c r="M286" s="7" t="inlineStr">
        <is>
          <t>Pending</t>
        </is>
      </c>
      <c r="N286" s="7">
        <f>IF(OR(E286="Apex Office Supplies",E286="Apex Office Supply Ltd"),"Apex Office Supplies",IF(OR(E286="Northstar IT Services",E286="North Star IT Svc"),"Northstar IT Services",IF(OR(E286="Metro Logistics",E286="Metro Logistics Pvt Ltd"),"Metro Logistics",E286)))</f>
        <v/>
      </c>
      <c r="O286" s="7">
        <f>IF(AND(ISNUMBER(L286),L286&gt;0),"Valid","Review")</f>
        <v/>
      </c>
      <c r="P286" s="7">
        <f>IF(OR(E286="",F286="",NOT(ISNUMBER(L286))),"Check Missing/Invalid Data","OK")</f>
        <v/>
      </c>
    </row>
    <row r="287">
      <c r="A287" s="7" t="inlineStr">
        <is>
          <t>PO-00477</t>
        </is>
      </c>
      <c r="B287" s="9" t="n">
        <v>45835</v>
      </c>
      <c r="C287" s="7" t="inlineStr">
        <is>
          <t>Goods Receipt</t>
        </is>
      </c>
      <c r="D287" s="7" t="inlineStr">
        <is>
          <t>SUP008</t>
        </is>
      </c>
      <c r="E287" s="7">
        <f>IF(E287="","Unknown Supplier",TRIM(E287))</f>
        <v/>
      </c>
      <c r="F287" s="7">
        <f>IF(F287="","Unclassified",TRIM(F287))</f>
        <v/>
      </c>
      <c r="G287" s="7" t="inlineStr">
        <is>
          <t>Corrugated boxes</t>
        </is>
      </c>
      <c r="H287" s="7" t="inlineStr">
        <is>
          <t>Corporate</t>
        </is>
      </c>
      <c r="I287" s="7" t="inlineStr">
        <is>
          <t>East</t>
        </is>
      </c>
      <c r="J287" s="7" t="n">
        <v>118</v>
      </c>
      <c r="K287" s="7" t="n">
        <v>98.34</v>
      </c>
      <c r="L287" s="7" t="n">
        <v>11603.69</v>
      </c>
      <c r="M287" s="7" t="inlineStr">
        <is>
          <t>Pending</t>
        </is>
      </c>
      <c r="N287" s="7">
        <f>IF(OR(E287="Apex Office Supplies",E287="Apex Office Supply Ltd"),"Apex Office Supplies",IF(OR(E287="Northstar IT Services",E287="North Star IT Svc"),"Northstar IT Services",IF(OR(E287="Metro Logistics",E287="Metro Logistics Pvt Ltd"),"Metro Logistics",E287)))</f>
        <v/>
      </c>
      <c r="O287" s="7">
        <f>IF(AND(ISNUMBER(L287),L287&gt;0),"Valid","Review")</f>
        <v/>
      </c>
      <c r="P287" s="7">
        <f>IF(OR(E287="",F287="",NOT(ISNUMBER(L287))),"Check Missing/Invalid Data","OK")</f>
        <v/>
      </c>
    </row>
    <row r="288">
      <c r="A288" s="7" t="inlineStr">
        <is>
          <t>PO-00095</t>
        </is>
      </c>
      <c r="B288" s="9" t="n">
        <v>45836</v>
      </c>
      <c r="C288" s="7" t="inlineStr">
        <is>
          <t>Purchase Order</t>
        </is>
      </c>
      <c r="D288" s="7" t="inlineStr">
        <is>
          <t>SUP007</t>
        </is>
      </c>
      <c r="E288" s="7">
        <f>IF(E288="","Unknown Supplier",TRIM(E288))</f>
        <v/>
      </c>
      <c r="F288" s="7">
        <f>IF(F288="","Unclassified",TRIM(F288))</f>
        <v/>
      </c>
      <c r="G288" s="7" t="inlineStr">
        <is>
          <t>Facility maintenance</t>
        </is>
      </c>
      <c r="H288" s="7" t="inlineStr">
        <is>
          <t>Sales</t>
        </is>
      </c>
      <c r="I288" s="7" t="inlineStr">
        <is>
          <t>West</t>
        </is>
      </c>
      <c r="J288" s="7" t="n">
        <v>110</v>
      </c>
      <c r="K288" s="7" t="n">
        <v>110.02</v>
      </c>
      <c r="L288" s="7" t="n">
        <v>12101.99</v>
      </c>
      <c r="M288" s="7" t="inlineStr">
        <is>
          <t>Pending</t>
        </is>
      </c>
      <c r="N288" s="7">
        <f>IF(OR(E288="Apex Office Supplies",E288="Apex Office Supply Ltd"),"Apex Office Supplies",IF(OR(E288="Northstar IT Services",E288="North Star IT Svc"),"Northstar IT Services",IF(OR(E288="Metro Logistics",E288="Metro Logistics Pvt Ltd"),"Metro Logistics",E288)))</f>
        <v/>
      </c>
      <c r="O288" s="7">
        <f>IF(AND(ISNUMBER(L288),L288&gt;0),"Valid","Review")</f>
        <v/>
      </c>
      <c r="P288" s="7">
        <f>IF(OR(E288="",F288="",NOT(ISNUMBER(L288))),"Check Missing/Invalid Data","OK")</f>
        <v/>
      </c>
    </row>
    <row r="289">
      <c r="A289" s="7" t="inlineStr">
        <is>
          <t>PO-00549</t>
        </is>
      </c>
      <c r="B289" s="9" t="n">
        <v>45837</v>
      </c>
      <c r="C289" s="7" t="inlineStr">
        <is>
          <t>Goods Receipt</t>
        </is>
      </c>
      <c r="D289" s="7" t="inlineStr">
        <is>
          <t>SUP011</t>
        </is>
      </c>
      <c r="E289" s="7">
        <f>IF(E289="","Unknown Supplier",TRIM(E289))</f>
        <v/>
      </c>
      <c r="F289" s="7">
        <f>IF(F289="","Unclassified",TRIM(F289))</f>
        <v/>
      </c>
      <c r="G289" s="7" t="inlineStr">
        <is>
          <t>Promotional materials</t>
        </is>
      </c>
      <c r="H289" s="7" t="inlineStr">
        <is>
          <t>Manufacturing</t>
        </is>
      </c>
      <c r="I289" s="7" t="inlineStr">
        <is>
          <t>South</t>
        </is>
      </c>
      <c r="J289" s="7" t="n">
        <v>74</v>
      </c>
      <c r="K289" s="7" t="n">
        <v>49.69</v>
      </c>
      <c r="L289" s="7" t="n">
        <v>3677.37</v>
      </c>
      <c r="M289" s="7" t="inlineStr">
        <is>
          <t>Pending</t>
        </is>
      </c>
      <c r="N289" s="7">
        <f>IF(OR(E289="Apex Office Supplies",E289="Apex Office Supply Ltd"),"Apex Office Supplies",IF(OR(E289="Northstar IT Services",E289="North Star IT Svc"),"Northstar IT Services",IF(OR(E289="Metro Logistics",E289="Metro Logistics Pvt Ltd"),"Metro Logistics",E289)))</f>
        <v/>
      </c>
      <c r="O289" s="7">
        <f>IF(AND(ISNUMBER(L289),L289&gt;0),"Valid","Review")</f>
        <v/>
      </c>
      <c r="P289" s="7">
        <f>IF(OR(E289="",F289="",NOT(ISNUMBER(L289))),"Check Missing/Invalid Data","OK")</f>
        <v/>
      </c>
    </row>
    <row r="290">
      <c r="A290" s="7" t="inlineStr">
        <is>
          <t>PO-00334</t>
        </is>
      </c>
      <c r="B290" s="9" t="n">
        <v>45837</v>
      </c>
      <c r="C290" s="7" t="inlineStr">
        <is>
          <t>Invoice</t>
        </is>
      </c>
      <c r="D290" s="7" t="inlineStr">
        <is>
          <t>SUP012</t>
        </is>
      </c>
      <c r="E290" s="7">
        <f>IF(E290="","Unknown Supplier",TRIM(E290))</f>
        <v/>
      </c>
      <c r="F290" s="7">
        <f>IF(F290="","Unclassified",TRIM(F290))</f>
        <v/>
      </c>
      <c r="G290" s="7" t="inlineStr">
        <is>
          <t>Tools and supplies</t>
        </is>
      </c>
      <c r="H290" s="7" t="inlineStr">
        <is>
          <t>Sales</t>
        </is>
      </c>
      <c r="I290" s="7" t="inlineStr">
        <is>
          <t>South</t>
        </is>
      </c>
      <c r="J290" s="7" t="n">
        <v>118</v>
      </c>
      <c r="K290" s="7" t="n">
        <v>114.4</v>
      </c>
      <c r="L290" s="7" t="n">
        <v>13499.05</v>
      </c>
      <c r="M290" s="7" t="inlineStr">
        <is>
          <t>Paid</t>
        </is>
      </c>
      <c r="N290" s="7">
        <f>IF(OR(E290="Apex Office Supplies",E290="Apex Office Supply Ltd"),"Apex Office Supplies",IF(OR(E290="Northstar IT Services",E290="North Star IT Svc"),"Northstar IT Services",IF(OR(E290="Metro Logistics",E290="Metro Logistics Pvt Ltd"),"Metro Logistics",E290)))</f>
        <v/>
      </c>
      <c r="O290" s="7">
        <f>IF(AND(ISNUMBER(L290),L290&gt;0),"Valid","Review")</f>
        <v/>
      </c>
      <c r="P290" s="7">
        <f>IF(OR(E290="",F290="",NOT(ISNUMBER(L290))),"Check Missing/Invalid Data","OK")</f>
        <v/>
      </c>
    </row>
    <row r="291">
      <c r="A291" s="7" t="inlineStr">
        <is>
          <t>PO-00191</t>
        </is>
      </c>
      <c r="B291" s="9" t="n">
        <v>45838</v>
      </c>
      <c r="C291" s="7" t="inlineStr">
        <is>
          <t>Purchase Order</t>
        </is>
      </c>
      <c r="D291" s="7" t="inlineStr">
        <is>
          <t>SUP010</t>
        </is>
      </c>
      <c r="E291" s="7">
        <f>IF(E291="","Unknown Supplier",TRIM(E291))</f>
        <v/>
      </c>
      <c r="F291" s="7">
        <f>IF(F291="","Unclassified",TRIM(F291))</f>
        <v/>
      </c>
      <c r="G291" s="7" t="inlineStr">
        <is>
          <t>Electricity</t>
        </is>
      </c>
      <c r="H291" s="7" t="inlineStr">
        <is>
          <t>Sales</t>
        </is>
      </c>
      <c r="I291" s="7" t="inlineStr">
        <is>
          <t>East</t>
        </is>
      </c>
      <c r="J291" s="7" t="n">
        <v>102</v>
      </c>
      <c r="K291" s="7" t="n">
        <v>49.3</v>
      </c>
      <c r="L291" s="7" t="n">
        <v>5029.05</v>
      </c>
      <c r="M291" s="7" t="inlineStr">
        <is>
          <t>Overdue</t>
        </is>
      </c>
      <c r="N291" s="7">
        <f>IF(OR(E291="Apex Office Supplies",E291="Apex Office Supply Ltd"),"Apex Office Supplies",IF(OR(E291="Northstar IT Services",E291="North Star IT Svc"),"Northstar IT Services",IF(OR(E291="Metro Logistics",E291="Metro Logistics Pvt Ltd"),"Metro Logistics",E291)))</f>
        <v/>
      </c>
      <c r="O291" s="7">
        <f>IF(AND(ISNUMBER(L291),L291&gt;0),"Valid","Review")</f>
        <v/>
      </c>
      <c r="P291" s="7">
        <f>IF(OR(E291="",F291="",NOT(ISNUMBER(L291))),"Check Missing/Invalid Data","OK")</f>
        <v/>
      </c>
    </row>
    <row r="292">
      <c r="A292" s="7" t="inlineStr">
        <is>
          <t>PO-00268</t>
        </is>
      </c>
      <c r="B292" s="9" t="n">
        <v>45838</v>
      </c>
      <c r="C292" s="7" t="inlineStr">
        <is>
          <t>Goods Receipt</t>
        </is>
      </c>
      <c r="D292" s="7" t="inlineStr">
        <is>
          <t>SUP003</t>
        </is>
      </c>
      <c r="E292" s="7">
        <f>IF(E292="","Unknown Supplier",TRIM(E292))</f>
        <v/>
      </c>
      <c r="F292" s="7">
        <f>IF(F292="","Unclassified",TRIM(F292))</f>
        <v/>
      </c>
      <c r="G292" s="7" t="inlineStr">
        <is>
          <t>IT consulting</t>
        </is>
      </c>
      <c r="H292" s="7" t="inlineStr">
        <is>
          <t>Corporate</t>
        </is>
      </c>
      <c r="I292" s="7" t="inlineStr">
        <is>
          <t>North</t>
        </is>
      </c>
      <c r="J292" s="7" t="n">
        <v>24</v>
      </c>
      <c r="K292" s="7" t="n">
        <v>700.7</v>
      </c>
      <c r="L292" s="7" t="n">
        <v>16816.82</v>
      </c>
      <c r="M292" s="7" t="inlineStr">
        <is>
          <t>Paid</t>
        </is>
      </c>
      <c r="N292" s="7">
        <f>IF(OR(E292="Apex Office Supplies",E292="Apex Office Supply Ltd"),"Apex Office Supplies",IF(OR(E292="Northstar IT Services",E292="North Star IT Svc"),"Northstar IT Services",IF(OR(E292="Metro Logistics",E292="Metro Logistics Pvt Ltd"),"Metro Logistics",E292)))</f>
        <v/>
      </c>
      <c r="O292" s="7">
        <f>IF(AND(ISNUMBER(L292),L292&gt;0),"Valid","Review")</f>
        <v/>
      </c>
      <c r="P292" s="7">
        <f>IF(OR(E292="",F292="",NOT(ISNUMBER(L292))),"Check Missing/Invalid Data","OK")</f>
        <v/>
      </c>
    </row>
    <row r="293">
      <c r="A293" s="7" t="inlineStr">
        <is>
          <t>PO-00423</t>
        </is>
      </c>
      <c r="B293" s="9" t="n">
        <v>45839</v>
      </c>
      <c r="C293" s="7" t="inlineStr">
        <is>
          <t>Invoice</t>
        </is>
      </c>
      <c r="D293" s="7" t="inlineStr">
        <is>
          <t>SUP004</t>
        </is>
      </c>
      <c r="E293" s="7">
        <f>IF(E293="","Unknown Supplier",TRIM(E293))</f>
        <v/>
      </c>
      <c r="F293" s="7">
        <f>IF(F293="","Unclassified",TRIM(F293))</f>
        <v/>
      </c>
      <c r="G293" s="7" t="inlineStr">
        <is>
          <t>Cloud services</t>
        </is>
      </c>
      <c r="H293" s="7" t="inlineStr">
        <is>
          <t>Technology</t>
        </is>
      </c>
      <c r="I293" s="7" t="inlineStr">
        <is>
          <t>East</t>
        </is>
      </c>
      <c r="J293" s="7" t="n">
        <v>101</v>
      </c>
      <c r="K293" s="7" t="n">
        <v>94.44</v>
      </c>
      <c r="L293" s="7" t="n">
        <v>9538.16</v>
      </c>
      <c r="M293" s="7" t="inlineStr">
        <is>
          <t>Pending</t>
        </is>
      </c>
      <c r="N293" s="7">
        <f>IF(OR(E293="Apex Office Supplies",E293="Apex Office Supply Ltd"),"Apex Office Supplies",IF(OR(E293="Northstar IT Services",E293="North Star IT Svc"),"Northstar IT Services",IF(OR(E293="Metro Logistics",E293="Metro Logistics Pvt Ltd"),"Metro Logistics",E293)))</f>
        <v/>
      </c>
      <c r="O293" s="7">
        <f>IF(AND(ISNUMBER(L293),L293&gt;0),"Valid","Review")</f>
        <v/>
      </c>
      <c r="P293" s="7">
        <f>IF(OR(E293="",F293="",NOT(ISNUMBER(L293))),"Check Missing/Invalid Data","OK")</f>
        <v/>
      </c>
    </row>
    <row r="294">
      <c r="A294" s="7" t="inlineStr">
        <is>
          <t>PO-00550</t>
        </is>
      </c>
      <c r="B294" s="9" t="n">
        <v>45839</v>
      </c>
      <c r="C294" s="7" t="inlineStr">
        <is>
          <t>Invoice</t>
        </is>
      </c>
      <c r="D294" s="7" t="inlineStr">
        <is>
          <t>SUP006</t>
        </is>
      </c>
      <c r="E294" s="7">
        <f>IF(E294="","Unknown Supplier",TRIM(E294))</f>
        <v/>
      </c>
      <c r="F294" s="7">
        <f>IF(F294="","Unclassified",TRIM(F294))</f>
        <v/>
      </c>
      <c r="G294" s="7" t="inlineStr">
        <is>
          <t>Freight services</t>
        </is>
      </c>
      <c r="H294" s="7" t="inlineStr">
        <is>
          <t>Sales</t>
        </is>
      </c>
      <c r="I294" s="7" t="inlineStr">
        <is>
          <t>East</t>
        </is>
      </c>
      <c r="J294" s="7" t="n">
        <v>95</v>
      </c>
      <c r="K294" s="7" t="n">
        <v>158.12</v>
      </c>
      <c r="L294" s="7" t="n">
        <v>15021.86</v>
      </c>
      <c r="M294" s="7" t="inlineStr">
        <is>
          <t>Pending</t>
        </is>
      </c>
      <c r="N294" s="7">
        <f>IF(OR(E294="Apex Office Supplies",E294="Apex Office Supply Ltd"),"Apex Office Supplies",IF(OR(E294="Northstar IT Services",E294="North Star IT Svc"),"Northstar IT Services",IF(OR(E294="Metro Logistics",E294="Metro Logistics Pvt Ltd"),"Metro Logistics",E294)))</f>
        <v/>
      </c>
      <c r="O294" s="7">
        <f>IF(AND(ISNUMBER(L294),L294&gt;0),"Valid","Review")</f>
        <v/>
      </c>
      <c r="P294" s="7">
        <f>IF(OR(E294="",F294="",NOT(ISNUMBER(L294))),"Check Missing/Invalid Data","OK")</f>
        <v/>
      </c>
    </row>
    <row r="295">
      <c r="A295" s="7" t="inlineStr">
        <is>
          <t>PO-00595</t>
        </is>
      </c>
      <c r="B295" s="9" t="n">
        <v>45840</v>
      </c>
      <c r="C295" s="7" t="inlineStr">
        <is>
          <t>Purchase Order</t>
        </is>
      </c>
      <c r="D295" s="7" t="inlineStr">
        <is>
          <t>SUP003</t>
        </is>
      </c>
      <c r="E295" s="7">
        <f>IF(E295="","Unknown Supplier",TRIM(E295))</f>
        <v/>
      </c>
      <c r="F295" s="7">
        <f>IF(F295="","Unclassified",TRIM(F295))</f>
        <v/>
      </c>
      <c r="G295" s="7" t="inlineStr">
        <is>
          <t>Software support</t>
        </is>
      </c>
      <c r="H295" s="7" t="inlineStr">
        <is>
          <t>Technology</t>
        </is>
      </c>
      <c r="I295" s="7" t="inlineStr">
        <is>
          <t>East</t>
        </is>
      </c>
      <c r="J295" s="7" t="n">
        <v>75</v>
      </c>
      <c r="K295" s="7" t="n">
        <v>151.49</v>
      </c>
      <c r="L295" s="7" t="n">
        <v>11361.85</v>
      </c>
      <c r="M295" s="7" t="inlineStr">
        <is>
          <t>Paid</t>
        </is>
      </c>
      <c r="N295" s="7">
        <f>IF(OR(E295="Apex Office Supplies",E295="Apex Office Supply Ltd"),"Apex Office Supplies",IF(OR(E295="Northstar IT Services",E295="North Star IT Svc"),"Northstar IT Services",IF(OR(E295="Metro Logistics",E295="Metro Logistics Pvt Ltd"),"Metro Logistics",E295)))</f>
        <v/>
      </c>
      <c r="O295" s="7">
        <f>IF(AND(ISNUMBER(L295),L295&gt;0),"Valid","Review")</f>
        <v/>
      </c>
      <c r="P295" s="7">
        <f>IF(OR(E295="",F295="",NOT(ISNUMBER(L295))),"Check Missing/Invalid Data","OK")</f>
        <v/>
      </c>
    </row>
    <row r="296">
      <c r="A296" s="7" t="inlineStr">
        <is>
          <t>PO-00282</t>
        </is>
      </c>
      <c r="B296" s="9" t="n">
        <v>45840</v>
      </c>
      <c r="C296" s="7" t="inlineStr">
        <is>
          <t>Goods Receipt</t>
        </is>
      </c>
      <c r="D296" s="7" t="inlineStr">
        <is>
          <t>SUP009</t>
        </is>
      </c>
      <c r="E296" s="7">
        <f>IF(E296="","Unknown Supplier",TRIM(E296))</f>
        <v/>
      </c>
      <c r="F296" s="7">
        <f>IF(F296="","Unclassified",TRIM(F296))</f>
        <v/>
      </c>
      <c r="G296" s="7" t="inlineStr">
        <is>
          <t>Audit support</t>
        </is>
      </c>
      <c r="H296" s="7" t="inlineStr">
        <is>
          <t>Sales</t>
        </is>
      </c>
      <c r="I296" s="7" t="inlineStr">
        <is>
          <t>North</t>
        </is>
      </c>
      <c r="J296" s="7" t="n">
        <v>88</v>
      </c>
      <c r="K296" s="7" t="n">
        <v>151.48</v>
      </c>
      <c r="L296" s="7" t="n">
        <v>13330.45</v>
      </c>
      <c r="M296" s="7" t="inlineStr">
        <is>
          <t>Overdue</t>
        </is>
      </c>
      <c r="N296" s="7">
        <f>IF(OR(E296="Apex Office Supplies",E296="Apex Office Supply Ltd"),"Apex Office Supplies",IF(OR(E296="Northstar IT Services",E296="North Star IT Svc"),"Northstar IT Services",IF(OR(E296="Metro Logistics",E296="Metro Logistics Pvt Ltd"),"Metro Logistics",E296)))</f>
        <v/>
      </c>
      <c r="O296" s="7">
        <f>IF(AND(ISNUMBER(L296),L296&gt;0),"Valid","Review")</f>
        <v/>
      </c>
      <c r="P296" s="7">
        <f>IF(OR(E296="",F296="",NOT(ISNUMBER(L296))),"Check Missing/Invalid Data","OK")</f>
        <v/>
      </c>
    </row>
    <row r="297">
      <c r="A297" s="7" t="inlineStr">
        <is>
          <t>PO-00421</t>
        </is>
      </c>
      <c r="B297" s="9" t="n">
        <v>45841</v>
      </c>
      <c r="C297" s="7" t="inlineStr">
        <is>
          <t>Goods Receipt</t>
        </is>
      </c>
      <c r="D297" s="7" t="inlineStr">
        <is>
          <t>SUP009</t>
        </is>
      </c>
      <c r="E297" s="7">
        <f>IF(E297="","Unknown Supplier",TRIM(E297))</f>
        <v/>
      </c>
      <c r="F297" s="7">
        <f>IF(F297="","Unclassified",TRIM(F297))</f>
        <v/>
      </c>
      <c r="G297" s="7" t="inlineStr">
        <is>
          <t>Business consulting</t>
        </is>
      </c>
      <c r="H297" s="7" t="inlineStr">
        <is>
          <t>Technology</t>
        </is>
      </c>
      <c r="I297" s="7" t="inlineStr">
        <is>
          <t>North</t>
        </is>
      </c>
      <c r="J297" s="7" t="n">
        <v>85</v>
      </c>
      <c r="K297" s="7" t="n">
        <v>63.19</v>
      </c>
      <c r="L297" s="7" t="n">
        <v>5370.91</v>
      </c>
      <c r="M297" s="7" t="inlineStr">
        <is>
          <t>Pending</t>
        </is>
      </c>
      <c r="N297" s="7">
        <f>IF(OR(E297="Apex Office Supplies",E297="Apex Office Supply Ltd"),"Apex Office Supplies",IF(OR(E297="Northstar IT Services",E297="North Star IT Svc"),"Northstar IT Services",IF(OR(E297="Metro Logistics",E297="Metro Logistics Pvt Ltd"),"Metro Logistics",E297)))</f>
        <v/>
      </c>
      <c r="O297" s="7">
        <f>IF(AND(ISNUMBER(L297),L297&gt;0),"Valid","Review")</f>
        <v/>
      </c>
      <c r="P297" s="7">
        <f>IF(OR(E297="",F297="",NOT(ISNUMBER(L297))),"Check Missing/Invalid Data","OK")</f>
        <v/>
      </c>
    </row>
    <row r="298">
      <c r="A298" s="7" t="inlineStr">
        <is>
          <t>PO-00432</t>
        </is>
      </c>
      <c r="B298" s="9" t="n">
        <v>45841</v>
      </c>
      <c r="C298" s="7" t="inlineStr">
        <is>
          <t>Invoice</t>
        </is>
      </c>
      <c r="D298" s="7" t="inlineStr">
        <is>
          <t>SUP004</t>
        </is>
      </c>
      <c r="E298" s="7">
        <f>IF(E298="","Unknown Supplier",TRIM(E298))</f>
        <v/>
      </c>
      <c r="F298" s="7">
        <f>IF(F298="","Unclassified",TRIM(F298))</f>
        <v/>
      </c>
      <c r="G298" s="7" t="inlineStr">
        <is>
          <t>Software support</t>
        </is>
      </c>
      <c r="H298" s="7" t="inlineStr">
        <is>
          <t>Operations</t>
        </is>
      </c>
      <c r="I298" s="7" t="inlineStr">
        <is>
          <t>South</t>
        </is>
      </c>
      <c r="J298" s="7" t="n">
        <v>104</v>
      </c>
      <c r="K298" s="7" t="n">
        <v>267.02</v>
      </c>
      <c r="L298" s="7" t="n">
        <v>27769.96</v>
      </c>
      <c r="M298" s="7" t="inlineStr">
        <is>
          <t>Overdue</t>
        </is>
      </c>
      <c r="N298" s="7">
        <f>IF(OR(E298="Apex Office Supplies",E298="Apex Office Supply Ltd"),"Apex Office Supplies",IF(OR(E298="Northstar IT Services",E298="North Star IT Svc"),"Northstar IT Services",IF(OR(E298="Metro Logistics",E298="Metro Logistics Pvt Ltd"),"Metro Logistics",E298)))</f>
        <v/>
      </c>
      <c r="O298" s="7">
        <f>IF(AND(ISNUMBER(L298),L298&gt;0),"Valid","Review")</f>
        <v/>
      </c>
      <c r="P298" s="7">
        <f>IF(OR(E298="",F298="",NOT(ISNUMBER(L298))),"Check Missing/Invalid Data","OK")</f>
        <v/>
      </c>
    </row>
    <row r="299">
      <c r="A299" s="7" t="inlineStr">
        <is>
          <t>PO-00284</t>
        </is>
      </c>
      <c r="B299" s="9" t="n">
        <v>45842</v>
      </c>
      <c r="C299" s="7" t="inlineStr">
        <is>
          <t>Invoice</t>
        </is>
      </c>
      <c r="D299" s="7" t="inlineStr">
        <is>
          <t>SUP002</t>
        </is>
      </c>
      <c r="E299" s="7">
        <f>IF(E299="","Unknown Supplier",TRIM(E299))</f>
        <v/>
      </c>
      <c r="F299" s="7">
        <f>IF(F299="","Unclassified",TRIM(F299))</f>
        <v/>
      </c>
      <c r="G299" s="7" t="inlineStr">
        <is>
          <t>Pens and stationery</t>
        </is>
      </c>
      <c r="H299" s="7" t="inlineStr">
        <is>
          <t>Corporate</t>
        </is>
      </c>
      <c r="I299" s="7" t="inlineStr">
        <is>
          <t>South</t>
        </is>
      </c>
      <c r="J299" s="7" t="n">
        <v>57</v>
      </c>
      <c r="K299" s="7" t="n">
        <v>297.9</v>
      </c>
      <c r="L299" s="7" t="n">
        <v>16980.13</v>
      </c>
      <c r="M299" s="7" t="inlineStr">
        <is>
          <t>Paid</t>
        </is>
      </c>
      <c r="N299" s="7">
        <f>IF(OR(E299="Apex Office Supplies",E299="Apex Office Supply Ltd"),"Apex Office Supplies",IF(OR(E299="Northstar IT Services",E299="North Star IT Svc"),"Northstar IT Services",IF(OR(E299="Metro Logistics",E299="Metro Logistics Pvt Ltd"),"Metro Logistics",E299)))</f>
        <v/>
      </c>
      <c r="O299" s="7">
        <f>IF(AND(ISNUMBER(L299),L299&gt;0),"Valid","Review")</f>
        <v/>
      </c>
      <c r="P299" s="7">
        <f>IF(OR(E299="",F299="",NOT(ISNUMBER(L299))),"Check Missing/Invalid Data","OK")</f>
        <v/>
      </c>
    </row>
    <row r="300">
      <c r="A300" s="7" t="inlineStr">
        <is>
          <t>PO-00409</t>
        </is>
      </c>
      <c r="B300" s="9" t="n">
        <v>45842</v>
      </c>
      <c r="C300" s="7" t="inlineStr">
        <is>
          <t>Goods Receipt</t>
        </is>
      </c>
      <c r="D300" s="7" t="inlineStr">
        <is>
          <t>SUP012</t>
        </is>
      </c>
      <c r="E300" s="7">
        <f>IF(E300="","Unknown Supplier",TRIM(E300))</f>
        <v/>
      </c>
      <c r="F300" s="7">
        <f>IF(F300="","Unclassified",TRIM(F300))</f>
        <v/>
      </c>
      <c r="G300" s="7" t="inlineStr">
        <is>
          <t>Equipment servicing</t>
        </is>
      </c>
      <c r="H300" s="7" t="inlineStr">
        <is>
          <t>Corporate</t>
        </is>
      </c>
      <c r="I300" s="7" t="inlineStr">
        <is>
          <t>North</t>
        </is>
      </c>
      <c r="J300" s="7" t="n">
        <v>60</v>
      </c>
      <c r="K300" s="7" t="n">
        <v>111.77</v>
      </c>
      <c r="L300" s="7" t="n">
        <v>6706.13</v>
      </c>
      <c r="M300" s="7" t="inlineStr">
        <is>
          <t>Paid</t>
        </is>
      </c>
      <c r="N300" s="7">
        <f>IF(OR(E300="Apex Office Supplies",E300="Apex Office Supply Ltd"),"Apex Office Supplies",IF(OR(E300="Northstar IT Services",E300="North Star IT Svc"),"Northstar IT Services",IF(OR(E300="Metro Logistics",E300="Metro Logistics Pvt Ltd"),"Metro Logistics",E300)))</f>
        <v/>
      </c>
      <c r="O300" s="7">
        <f>IF(AND(ISNUMBER(L300),L300&gt;0),"Valid","Review")</f>
        <v/>
      </c>
      <c r="P300" s="7">
        <f>IF(OR(E300="",F300="",NOT(ISNUMBER(L300))),"Check Missing/Invalid Data","OK")</f>
        <v/>
      </c>
    </row>
    <row r="301">
      <c r="A301" s="7" t="inlineStr">
        <is>
          <t>PO-00215</t>
        </is>
      </c>
      <c r="B301" s="9" t="n">
        <v>45845</v>
      </c>
      <c r="C301" s="7" t="inlineStr">
        <is>
          <t>Goods Receipt</t>
        </is>
      </c>
      <c r="D301" s="7" t="inlineStr">
        <is>
          <t>SUP007</t>
        </is>
      </c>
      <c r="E301" s="7">
        <f>IF(E301="","Unknown Supplier",TRIM(E301))</f>
        <v/>
      </c>
      <c r="F301" s="7">
        <f>IF(F301="","Unclassified",TRIM(F301))</f>
        <v/>
      </c>
      <c r="G301" s="7" t="inlineStr">
        <is>
          <t>Cleaning services</t>
        </is>
      </c>
      <c r="H301" s="7" t="inlineStr">
        <is>
          <t>Technology</t>
        </is>
      </c>
      <c r="I301" s="7" t="inlineStr">
        <is>
          <t>East</t>
        </is>
      </c>
      <c r="J301" s="7" t="n">
        <v>73</v>
      </c>
      <c r="K301" s="7" t="n">
        <v>99.76000000000001</v>
      </c>
      <c r="L301" s="7" t="n">
        <v>7282.4</v>
      </c>
      <c r="M301" s="7" t="inlineStr">
        <is>
          <t>Paid</t>
        </is>
      </c>
      <c r="N301" s="7">
        <f>IF(OR(E301="Apex Office Supplies",E301="Apex Office Supply Ltd"),"Apex Office Supplies",IF(OR(E301="Northstar IT Services",E301="North Star IT Svc"),"Northstar IT Services",IF(OR(E301="Metro Logistics",E301="Metro Logistics Pvt Ltd"),"Metro Logistics",E301)))</f>
        <v/>
      </c>
      <c r="O301" s="7">
        <f>IF(AND(ISNUMBER(L301),L301&gt;0),"Valid","Review")</f>
        <v/>
      </c>
      <c r="P301" s="7">
        <f>IF(OR(E301="",F301="",NOT(ISNUMBER(L301))),"Check Missing/Invalid Data","OK")</f>
        <v/>
      </c>
    </row>
    <row r="302">
      <c r="A302" s="7" t="inlineStr">
        <is>
          <t>PO-00316</t>
        </is>
      </c>
      <c r="B302" s="9" t="n">
        <v>45845</v>
      </c>
      <c r="C302" s="7" t="inlineStr">
        <is>
          <t>Invoice</t>
        </is>
      </c>
      <c r="D302" s="7" t="inlineStr">
        <is>
          <t>SUP009</t>
        </is>
      </c>
      <c r="E302" s="7">
        <f>IF(E302="","Unknown Supplier",TRIM(E302))</f>
        <v/>
      </c>
      <c r="F302" s="7">
        <f>IF(F302="","Unclassified",TRIM(F302))</f>
        <v/>
      </c>
      <c r="G302" s="7" t="inlineStr">
        <is>
          <t>Audit support</t>
        </is>
      </c>
      <c r="H302" s="7" t="inlineStr">
        <is>
          <t>Operations</t>
        </is>
      </c>
      <c r="I302" s="7" t="inlineStr">
        <is>
          <t>West</t>
        </is>
      </c>
      <c r="J302" s="7" t="n">
        <v>93</v>
      </c>
      <c r="K302" s="7" t="n">
        <v>15.79</v>
      </c>
      <c r="L302" s="7" t="n">
        <v>1468.79</v>
      </c>
      <c r="M302" s="7" t="inlineStr">
        <is>
          <t>Paid</t>
        </is>
      </c>
      <c r="N302" s="7">
        <f>IF(OR(E302="Apex Office Supplies",E302="Apex Office Supply Ltd"),"Apex Office Supplies",IF(OR(E302="Northstar IT Services",E302="North Star IT Svc"),"Northstar IT Services",IF(OR(E302="Metro Logistics",E302="Metro Logistics Pvt Ltd"),"Metro Logistics",E302)))</f>
        <v/>
      </c>
      <c r="O302" s="7">
        <f>IF(AND(ISNUMBER(L302),L302&gt;0),"Valid","Review")</f>
        <v/>
      </c>
      <c r="P302" s="7">
        <f>IF(OR(E302="",F302="",NOT(ISNUMBER(L302))),"Check Missing/Invalid Data","OK")</f>
        <v/>
      </c>
    </row>
    <row r="303">
      <c r="A303" s="7" t="inlineStr">
        <is>
          <t>PO-00353</t>
        </is>
      </c>
      <c r="B303" s="9" t="n">
        <v>45846</v>
      </c>
      <c r="C303" s="7" t="inlineStr">
        <is>
          <t>Purchase Order</t>
        </is>
      </c>
      <c r="D303" s="7" t="inlineStr">
        <is>
          <t>SUP010</t>
        </is>
      </c>
      <c r="E303" s="7">
        <f>IF(E303="","Unknown Supplier",TRIM(E303))</f>
        <v/>
      </c>
      <c r="F303" s="7">
        <f>IF(F303="","Unclassified",TRIM(F303))</f>
        <v/>
      </c>
      <c r="G303" s="7" t="inlineStr">
        <is>
          <t>Natural gas</t>
        </is>
      </c>
      <c r="H303" s="7" t="inlineStr">
        <is>
          <t>Manufacturing</t>
        </is>
      </c>
      <c r="I303" s="7" t="inlineStr">
        <is>
          <t>South</t>
        </is>
      </c>
      <c r="J303" s="7" t="n">
        <v>100</v>
      </c>
      <c r="K303" s="7" t="n">
        <v>179.6</v>
      </c>
      <c r="L303" s="7" t="n">
        <v>17960.43</v>
      </c>
      <c r="M303" s="7" t="inlineStr">
        <is>
          <t>Paid</t>
        </is>
      </c>
      <c r="N303" s="7">
        <f>IF(OR(E303="Apex Office Supplies",E303="Apex Office Supply Ltd"),"Apex Office Supplies",IF(OR(E303="Northstar IT Services",E303="North Star IT Svc"),"Northstar IT Services",IF(OR(E303="Metro Logistics",E303="Metro Logistics Pvt Ltd"),"Metro Logistics",E303)))</f>
        <v/>
      </c>
      <c r="O303" s="7">
        <f>IF(AND(ISNUMBER(L303),L303&gt;0),"Valid","Review")</f>
        <v/>
      </c>
      <c r="P303" s="7">
        <f>IF(OR(E303="",F303="",NOT(ISNUMBER(L303))),"Check Missing/Invalid Data","OK")</f>
        <v/>
      </c>
    </row>
    <row r="304">
      <c r="A304" s="7" t="inlineStr">
        <is>
          <t>PO-00521</t>
        </is>
      </c>
      <c r="B304" s="9" t="n">
        <v>45847</v>
      </c>
      <c r="C304" s="7" t="inlineStr">
        <is>
          <t>Goods Receipt</t>
        </is>
      </c>
      <c r="D304" s="7" t="inlineStr">
        <is>
          <t>SUP009</t>
        </is>
      </c>
      <c r="E304" s="7">
        <f>IF(E304="","Unknown Supplier",TRIM(E304))</f>
        <v/>
      </c>
      <c r="F304" s="7">
        <f>IF(F304="","Unclassified",TRIM(F304))</f>
        <v/>
      </c>
      <c r="G304" s="7" t="inlineStr">
        <is>
          <t>Training services</t>
        </is>
      </c>
      <c r="H304" s="7" t="inlineStr">
        <is>
          <t>Sales</t>
        </is>
      </c>
      <c r="I304" s="7" t="inlineStr">
        <is>
          <t>South</t>
        </is>
      </c>
      <c r="J304" s="7" t="n">
        <v>40</v>
      </c>
      <c r="K304" s="7" t="n">
        <v>197.95</v>
      </c>
      <c r="L304" s="7" t="n">
        <v>7917.83</v>
      </c>
      <c r="M304" s="7" t="inlineStr">
        <is>
          <t>Overdue</t>
        </is>
      </c>
      <c r="N304" s="7">
        <f>IF(OR(E304="Apex Office Supplies",E304="Apex Office Supply Ltd"),"Apex Office Supplies",IF(OR(E304="Northstar IT Services",E304="North Star IT Svc"),"Northstar IT Services",IF(OR(E304="Metro Logistics",E304="Metro Logistics Pvt Ltd"),"Metro Logistics",E304)))</f>
        <v/>
      </c>
      <c r="O304" s="7">
        <f>IF(AND(ISNUMBER(L304),L304&gt;0),"Valid","Review")</f>
        <v/>
      </c>
      <c r="P304" s="7">
        <f>IF(OR(E304="",F304="",NOT(ISNUMBER(L304))),"Check Missing/Invalid Data","OK")</f>
        <v/>
      </c>
    </row>
    <row r="305">
      <c r="A305" s="7" t="inlineStr">
        <is>
          <t>PO-00124</t>
        </is>
      </c>
      <c r="B305" s="9" t="n">
        <v>45848</v>
      </c>
      <c r="C305" s="7" t="inlineStr">
        <is>
          <t>Goods Receipt</t>
        </is>
      </c>
      <c r="D305" s="7" t="inlineStr">
        <is>
          <t>SUP002</t>
        </is>
      </c>
      <c r="E305" s="7">
        <f>IF(E305="","Unknown Supplier",TRIM(E305))</f>
        <v/>
      </c>
      <c r="F305" s="7">
        <f>IF(F305="","Unclassified",TRIM(F305))</f>
        <v/>
      </c>
      <c r="G305" s="7" t="inlineStr">
        <is>
          <t>Pens and stationery</t>
        </is>
      </c>
      <c r="H305" s="7" t="inlineStr">
        <is>
          <t>Manufacturing</t>
        </is>
      </c>
      <c r="I305" s="7" t="inlineStr">
        <is>
          <t>South</t>
        </is>
      </c>
      <c r="J305" s="7" t="n">
        <v>80</v>
      </c>
      <c r="K305" s="7" t="n">
        <v>106.88</v>
      </c>
      <c r="L305" s="7" t="n">
        <v>8550.01</v>
      </c>
      <c r="M305" s="7" t="inlineStr">
        <is>
          <t>Overdue</t>
        </is>
      </c>
      <c r="N305" s="7">
        <f>IF(OR(E305="Apex Office Supplies",E305="Apex Office Supply Ltd"),"Apex Office Supplies",IF(OR(E305="Northstar IT Services",E305="North Star IT Svc"),"Northstar IT Services",IF(OR(E305="Metro Logistics",E305="Metro Logistics Pvt Ltd"),"Metro Logistics",E305)))</f>
        <v/>
      </c>
      <c r="O305" s="7">
        <f>IF(AND(ISNUMBER(L305),L305&gt;0),"Valid","Review")</f>
        <v/>
      </c>
      <c r="P305" s="7">
        <f>IF(OR(E305="",F305="",NOT(ISNUMBER(L305))),"Check Missing/Invalid Data","OK")</f>
        <v/>
      </c>
    </row>
    <row r="306">
      <c r="A306" s="7" t="inlineStr">
        <is>
          <t>PO-00329</t>
        </is>
      </c>
      <c r="B306" s="9" t="n">
        <v>45848</v>
      </c>
      <c r="C306" s="7" t="inlineStr">
        <is>
          <t>Goods Receipt</t>
        </is>
      </c>
      <c r="D306" s="7" t="inlineStr">
        <is>
          <t>SUP011</t>
        </is>
      </c>
      <c r="E306" s="7">
        <f>IF(E306="","Unknown Supplier",TRIM(E306))</f>
        <v/>
      </c>
      <c r="F306" s="7">
        <f>IF(F306="","Unclassified",TRIM(F306))</f>
        <v/>
      </c>
      <c r="G306" s="7" t="inlineStr">
        <is>
          <t>Print advertising</t>
        </is>
      </c>
      <c r="H306" s="7" t="inlineStr">
        <is>
          <t>Operations</t>
        </is>
      </c>
      <c r="I306" s="7" t="inlineStr">
        <is>
          <t>West</t>
        </is>
      </c>
      <c r="J306" s="7" t="n">
        <v>51</v>
      </c>
      <c r="K306" s="7" t="n">
        <v>60.38</v>
      </c>
      <c r="L306" s="7" t="n">
        <v>3079.59</v>
      </c>
      <c r="M306" s="7" t="inlineStr">
        <is>
          <t>Overdue</t>
        </is>
      </c>
      <c r="N306" s="7">
        <f>IF(OR(E306="Apex Office Supplies",E306="Apex Office Supply Ltd"),"Apex Office Supplies",IF(OR(E306="Northstar IT Services",E306="North Star IT Svc"),"Northstar IT Services",IF(OR(E306="Metro Logistics",E306="Metro Logistics Pvt Ltd"),"Metro Logistics",E306)))</f>
        <v/>
      </c>
      <c r="O306" s="7">
        <f>IF(AND(ISNUMBER(L306),L306&gt;0),"Valid","Review")</f>
        <v/>
      </c>
      <c r="P306" s="7">
        <f>IF(OR(E306="",F306="",NOT(ISNUMBER(L306))),"Check Missing/Invalid Data","OK")</f>
        <v/>
      </c>
    </row>
    <row r="307">
      <c r="A307" s="7" t="inlineStr">
        <is>
          <t>PO-00410</t>
        </is>
      </c>
      <c r="B307" s="9" t="n">
        <v>45848</v>
      </c>
      <c r="C307" s="7" t="inlineStr">
        <is>
          <t>Invoice</t>
        </is>
      </c>
      <c r="D307" s="7" t="inlineStr">
        <is>
          <t>SUP008</t>
        </is>
      </c>
      <c r="E307" s="7">
        <f>IF(E307="","Unknown Supplier",TRIM(E307))</f>
        <v/>
      </c>
      <c r="F307" s="7">
        <f>IF(F307="","Unclassified",TRIM(F307))</f>
        <v/>
      </c>
      <c r="G307" s="7" t="inlineStr">
        <is>
          <t>Labels</t>
        </is>
      </c>
      <c r="H307" s="7" t="inlineStr">
        <is>
          <t>Manufacturing</t>
        </is>
      </c>
      <c r="I307" s="7" t="inlineStr">
        <is>
          <t>East</t>
        </is>
      </c>
      <c r="J307" s="7" t="n">
        <v>112</v>
      </c>
      <c r="K307" s="7" t="n">
        <v>29.42</v>
      </c>
      <c r="L307" s="7" t="n">
        <v>3295.2</v>
      </c>
      <c r="M307" s="7" t="inlineStr">
        <is>
          <t>Pending</t>
        </is>
      </c>
      <c r="N307" s="7">
        <f>IF(OR(E307="Apex Office Supplies",E307="Apex Office Supply Ltd"),"Apex Office Supplies",IF(OR(E307="Northstar IT Services",E307="North Star IT Svc"),"Northstar IT Services",IF(OR(E307="Metro Logistics",E307="Metro Logistics Pvt Ltd"),"Metro Logistics",E307)))</f>
        <v/>
      </c>
      <c r="O307" s="7">
        <f>IF(AND(ISNUMBER(L307),L307&gt;0),"Valid","Review")</f>
        <v/>
      </c>
      <c r="P307" s="7">
        <f>IF(OR(E307="",F307="",NOT(ISNUMBER(L307))),"Check Missing/Invalid Data","OK")</f>
        <v/>
      </c>
    </row>
    <row r="308">
      <c r="A308" s="7" t="inlineStr">
        <is>
          <t>PO-00538</t>
        </is>
      </c>
      <c r="B308" s="9" t="n">
        <v>45848</v>
      </c>
      <c r="C308" s="7" t="inlineStr">
        <is>
          <t>Goods Receipt</t>
        </is>
      </c>
      <c r="D308" s="7" t="inlineStr">
        <is>
          <t>SUP010</t>
        </is>
      </c>
      <c r="E308" s="7">
        <f>IF(E308="","Unknown Supplier",TRIM(E308))</f>
        <v/>
      </c>
      <c r="F308" s="7">
        <f>IF(F308="","Unclassified",TRIM(F308))</f>
        <v/>
      </c>
      <c r="G308" s="7" t="inlineStr">
        <is>
          <t>Water services</t>
        </is>
      </c>
      <c r="H308" s="7" t="inlineStr">
        <is>
          <t>Sales</t>
        </is>
      </c>
      <c r="I308" s="7" t="inlineStr">
        <is>
          <t>South</t>
        </is>
      </c>
      <c r="J308" s="7" t="n">
        <v>113</v>
      </c>
      <c r="K308" s="7" t="n">
        <v>143.17</v>
      </c>
      <c r="L308" s="7" t="n">
        <v>16178.41</v>
      </c>
      <c r="M308" s="7" t="inlineStr">
        <is>
          <t>Overdue</t>
        </is>
      </c>
      <c r="N308" s="7">
        <f>IF(OR(E308="Apex Office Supplies",E308="Apex Office Supply Ltd"),"Apex Office Supplies",IF(OR(E308="Northstar IT Services",E308="North Star IT Svc"),"Northstar IT Services",IF(OR(E308="Metro Logistics",E308="Metro Logistics Pvt Ltd"),"Metro Logistics",E308)))</f>
        <v/>
      </c>
      <c r="O308" s="7">
        <f>IF(AND(ISNUMBER(L308),L308&gt;0),"Valid","Review")</f>
        <v/>
      </c>
      <c r="P308" s="7">
        <f>IF(OR(E308="",F308="",NOT(ISNUMBER(L308))),"Check Missing/Invalid Data","OK")</f>
        <v/>
      </c>
    </row>
    <row r="309">
      <c r="A309" s="7" t="inlineStr">
        <is>
          <t>PO-00194</t>
        </is>
      </c>
      <c r="B309" s="9" t="n">
        <v>45848</v>
      </c>
      <c r="C309" s="7" t="inlineStr">
        <is>
          <t>Invoice</t>
        </is>
      </c>
      <c r="D309" s="7" t="inlineStr">
        <is>
          <t>SUP008</t>
        </is>
      </c>
      <c r="E309" s="7">
        <f>IF(E309="","Unknown Supplier",TRIM(E309))</f>
        <v/>
      </c>
      <c r="F309" s="7">
        <f>IF(F309="","Unclassified",TRIM(F309))</f>
        <v/>
      </c>
      <c r="G309" s="7" t="inlineStr">
        <is>
          <t>Protective packaging</t>
        </is>
      </c>
      <c r="H309" s="7" t="inlineStr">
        <is>
          <t>Technology</t>
        </is>
      </c>
      <c r="I309" s="7" t="inlineStr">
        <is>
          <t>East</t>
        </is>
      </c>
      <c r="J309" s="7" t="n">
        <v>68</v>
      </c>
      <c r="K309" s="7" t="n">
        <v>152.67</v>
      </c>
      <c r="L309" s="7" t="n">
        <v>10381.72</v>
      </c>
      <c r="M309" s="7" t="inlineStr">
        <is>
          <t>Paid</t>
        </is>
      </c>
      <c r="N309" s="7">
        <f>IF(OR(E309="Apex Office Supplies",E309="Apex Office Supply Ltd"),"Apex Office Supplies",IF(OR(E309="Northstar IT Services",E309="North Star IT Svc"),"Northstar IT Services",IF(OR(E309="Metro Logistics",E309="Metro Logistics Pvt Ltd"),"Metro Logistics",E309)))</f>
        <v/>
      </c>
      <c r="O309" s="7">
        <f>IF(AND(ISNUMBER(L309),L309&gt;0),"Valid","Review")</f>
        <v/>
      </c>
      <c r="P309" s="7">
        <f>IF(OR(E309="",F309="",NOT(ISNUMBER(L309))),"Check Missing/Invalid Data","OK")</f>
        <v/>
      </c>
    </row>
    <row r="310">
      <c r="A310" s="7" t="inlineStr">
        <is>
          <t>PO-00407</t>
        </is>
      </c>
      <c r="B310" s="9" t="n">
        <v>45849</v>
      </c>
      <c r="C310" s="7" t="inlineStr">
        <is>
          <t>Goods Receipt</t>
        </is>
      </c>
      <c r="D310" s="7" t="inlineStr">
        <is>
          <t>SUP001</t>
        </is>
      </c>
      <c r="E310" s="7">
        <f>IF(E310="","Unknown Supplier",TRIM(E310))</f>
        <v/>
      </c>
      <c r="F310" s="7">
        <f>IF(F310="","Unclassified",TRIM(F310))</f>
        <v/>
      </c>
      <c r="G310" s="7" t="inlineStr">
        <is>
          <t>Toner cartridges</t>
        </is>
      </c>
      <c r="H310" s="7" t="inlineStr">
        <is>
          <t>Sales</t>
        </is>
      </c>
      <c r="I310" s="7" t="inlineStr">
        <is>
          <t>South</t>
        </is>
      </c>
      <c r="J310" s="7" t="n">
        <v>40</v>
      </c>
      <c r="K310" s="7" t="n">
        <v>74.06</v>
      </c>
      <c r="L310" s="7" t="n">
        <v>2962.43</v>
      </c>
      <c r="M310" s="7" t="inlineStr">
        <is>
          <t>Overdue</t>
        </is>
      </c>
      <c r="N310" s="7">
        <f>IF(OR(E310="Apex Office Supplies",E310="Apex Office Supply Ltd"),"Apex Office Supplies",IF(OR(E310="Northstar IT Services",E310="North Star IT Svc"),"Northstar IT Services",IF(OR(E310="Metro Logistics",E310="Metro Logistics Pvt Ltd"),"Metro Logistics",E310)))</f>
        <v/>
      </c>
      <c r="O310" s="7">
        <f>IF(AND(ISNUMBER(L310),L310&gt;0),"Valid","Review")</f>
        <v/>
      </c>
      <c r="P310" s="7">
        <f>IF(OR(E310="",F310="",NOT(ISNUMBER(L310))),"Check Missing/Invalid Data","OK")</f>
        <v/>
      </c>
    </row>
    <row r="311">
      <c r="A311" s="7" t="inlineStr">
        <is>
          <t>PO-00563</t>
        </is>
      </c>
      <c r="B311" s="9" t="n">
        <v>45849</v>
      </c>
      <c r="C311" s="7" t="inlineStr">
        <is>
          <t>Purchase Order</t>
        </is>
      </c>
      <c r="D311" s="7" t="inlineStr">
        <is>
          <t>SUP004</t>
        </is>
      </c>
      <c r="E311" s="7">
        <f>IF(E311="","Unknown Supplier",TRIM(E311))</f>
        <v/>
      </c>
      <c r="F311" s="7">
        <f>IF(F311="","Unclassified",TRIM(F311))</f>
        <v/>
      </c>
      <c r="G311" s="7" t="inlineStr">
        <is>
          <t>Software support</t>
        </is>
      </c>
      <c r="H311" s="7" t="inlineStr">
        <is>
          <t>Sales</t>
        </is>
      </c>
      <c r="I311" s="7" t="inlineStr">
        <is>
          <t>West</t>
        </is>
      </c>
      <c r="J311" s="7" t="n">
        <v>51</v>
      </c>
      <c r="K311" s="7" t="n">
        <v>338.09</v>
      </c>
      <c r="L311" s="7" t="n">
        <v>17242.61</v>
      </c>
      <c r="M311" s="7" t="inlineStr">
        <is>
          <t>Paid</t>
        </is>
      </c>
      <c r="N311" s="7">
        <f>IF(OR(E311="Apex Office Supplies",E311="Apex Office Supply Ltd"),"Apex Office Supplies",IF(OR(E311="Northstar IT Services",E311="North Star IT Svc"),"Northstar IT Services",IF(OR(E311="Metro Logistics",E311="Metro Logistics Pvt Ltd"),"Metro Logistics",E311)))</f>
        <v/>
      </c>
      <c r="O311" s="7">
        <f>IF(AND(ISNUMBER(L311),L311&gt;0),"Valid","Review")</f>
        <v/>
      </c>
      <c r="P311" s="7">
        <f>IF(OR(E311="",F311="",NOT(ISNUMBER(L311))),"Check Missing/Invalid Data","OK")</f>
        <v/>
      </c>
    </row>
    <row r="312">
      <c r="A312" s="7" t="inlineStr">
        <is>
          <t>PO-00429</t>
        </is>
      </c>
      <c r="B312" s="9" t="n">
        <v>45849</v>
      </c>
      <c r="C312" s="7" t="inlineStr">
        <is>
          <t>Purchase Order</t>
        </is>
      </c>
      <c r="D312" s="7" t="inlineStr">
        <is>
          <t>SUP001</t>
        </is>
      </c>
      <c r="E312" s="7">
        <f>IF(E312="","Unknown Supplier",TRIM(E312))</f>
        <v/>
      </c>
      <c r="F312" s="7">
        <f>IF(F312="","Unclassified",TRIM(F312))</f>
        <v/>
      </c>
      <c r="G312" s="7" t="inlineStr">
        <is>
          <t>Printer paper</t>
        </is>
      </c>
      <c r="H312" s="7" t="inlineStr">
        <is>
          <t>Corporate</t>
        </is>
      </c>
      <c r="I312" s="7" t="inlineStr">
        <is>
          <t>South</t>
        </is>
      </c>
      <c r="J312" s="7" t="n">
        <v>68</v>
      </c>
      <c r="K312" s="7" t="n">
        <v>200.77</v>
      </c>
      <c r="L312" s="7" t="n">
        <v>13652.44</v>
      </c>
      <c r="M312" s="7" t="inlineStr">
        <is>
          <t>Paid</t>
        </is>
      </c>
      <c r="N312" s="7">
        <f>IF(OR(E312="Apex Office Supplies",E312="Apex Office Supply Ltd"),"Apex Office Supplies",IF(OR(E312="Northstar IT Services",E312="North Star IT Svc"),"Northstar IT Services",IF(OR(E312="Metro Logistics",E312="Metro Logistics Pvt Ltd"),"Metro Logistics",E312)))</f>
        <v/>
      </c>
      <c r="O312" s="7">
        <f>IF(AND(ISNUMBER(L312),L312&gt;0),"Valid","Review")</f>
        <v/>
      </c>
      <c r="P312" s="7">
        <f>IF(OR(E312="",F312="",NOT(ISNUMBER(L312))),"Check Missing/Invalid Data","OK")</f>
        <v/>
      </c>
    </row>
    <row r="313">
      <c r="A313" s="7" t="inlineStr">
        <is>
          <t>PO-00300</t>
        </is>
      </c>
      <c r="B313" s="9" t="n">
        <v>45849</v>
      </c>
      <c r="C313" s="7" t="inlineStr">
        <is>
          <t>Goods Receipt</t>
        </is>
      </c>
      <c r="D313" s="7" t="inlineStr">
        <is>
          <t>SUP007</t>
        </is>
      </c>
      <c r="E313" s="7">
        <f>IF(E313="","Unknown Supplier",TRIM(E313))</f>
        <v/>
      </c>
      <c r="F313" s="7">
        <f>IF(F313="","Unclassified",TRIM(F313))</f>
        <v/>
      </c>
      <c r="G313" s="7" t="inlineStr">
        <is>
          <t>Cleaning services</t>
        </is>
      </c>
      <c r="H313" s="7" t="inlineStr">
        <is>
          <t>Technology</t>
        </is>
      </c>
      <c r="I313" s="7" t="inlineStr">
        <is>
          <t>North</t>
        </is>
      </c>
      <c r="J313" s="7" t="n">
        <v>89</v>
      </c>
      <c r="K313" s="7" t="n">
        <v>137.87</v>
      </c>
      <c r="L313" s="7" t="n">
        <v>12270.45</v>
      </c>
      <c r="M313" s="7" t="inlineStr">
        <is>
          <t>Pending</t>
        </is>
      </c>
      <c r="N313" s="7">
        <f>IF(OR(E313="Apex Office Supplies",E313="Apex Office Supply Ltd"),"Apex Office Supplies",IF(OR(E313="Northstar IT Services",E313="North Star IT Svc"),"Northstar IT Services",IF(OR(E313="Metro Logistics",E313="Metro Logistics Pvt Ltd"),"Metro Logistics",E313)))</f>
        <v/>
      </c>
      <c r="O313" s="7">
        <f>IF(AND(ISNUMBER(L313),L313&gt;0),"Valid","Review")</f>
        <v/>
      </c>
      <c r="P313" s="7">
        <f>IF(OR(E313="",F313="",NOT(ISNUMBER(L313))),"Check Missing/Invalid Data","OK")</f>
        <v/>
      </c>
    </row>
    <row r="314">
      <c r="A314" s="7" t="inlineStr">
        <is>
          <t>PO-00355</t>
        </is>
      </c>
      <c r="B314" s="9" t="n">
        <v>45850</v>
      </c>
      <c r="C314" s="7" t="inlineStr">
        <is>
          <t>Purchase Order</t>
        </is>
      </c>
      <c r="D314" s="7" t="inlineStr">
        <is>
          <t>SUP012</t>
        </is>
      </c>
      <c r="E314" s="7">
        <f>IF(E314="","Unknown Supplier",TRIM(E314))</f>
        <v/>
      </c>
      <c r="F314" s="7">
        <f>IF(F314="","Unclassified",TRIM(F314))</f>
        <v/>
      </c>
      <c r="G314" s="7" t="inlineStr">
        <is>
          <t>Equipment servicing</t>
        </is>
      </c>
      <c r="H314" s="7" t="inlineStr">
        <is>
          <t>Sales</t>
        </is>
      </c>
      <c r="I314" s="7" t="inlineStr">
        <is>
          <t>North</t>
        </is>
      </c>
      <c r="J314" s="7" t="n">
        <v>68</v>
      </c>
      <c r="K314" s="7" t="n">
        <v>29.1</v>
      </c>
      <c r="L314" s="7" t="n">
        <v>1978.61</v>
      </c>
      <c r="M314" s="7" t="inlineStr">
        <is>
          <t>Paid</t>
        </is>
      </c>
      <c r="N314" s="7">
        <f>IF(OR(E314="Apex Office Supplies",E314="Apex Office Supply Ltd"),"Apex Office Supplies",IF(OR(E314="Northstar IT Services",E314="North Star IT Svc"),"Northstar IT Services",IF(OR(E314="Metro Logistics",E314="Metro Logistics Pvt Ltd"),"Metro Logistics",E314)))</f>
        <v/>
      </c>
      <c r="O314" s="7">
        <f>IF(AND(ISNUMBER(L314),L314&gt;0),"Valid","Review")</f>
        <v/>
      </c>
      <c r="P314" s="7">
        <f>IF(OR(E314="",F314="",NOT(ISNUMBER(L314))),"Check Missing/Invalid Data","OK")</f>
        <v/>
      </c>
    </row>
    <row r="315">
      <c r="A315" s="7" t="inlineStr">
        <is>
          <t>PO-00513</t>
        </is>
      </c>
      <c r="B315" s="9" t="n">
        <v>45851</v>
      </c>
      <c r="C315" s="7" t="inlineStr">
        <is>
          <t>Goods Receipt</t>
        </is>
      </c>
      <c r="D315" s="7" t="inlineStr">
        <is>
          <t>SUP007</t>
        </is>
      </c>
      <c r="E315" s="7">
        <f>IF(E315="","Unknown Supplier",TRIM(E315))</f>
        <v/>
      </c>
      <c r="F315" s="7">
        <f>IF(F315="","Unclassified",TRIM(F315))</f>
        <v/>
      </c>
      <c r="G315" s="7" t="inlineStr">
        <is>
          <t>Security services</t>
        </is>
      </c>
      <c r="H315" s="7" t="inlineStr">
        <is>
          <t>Sales</t>
        </is>
      </c>
      <c r="I315" s="7" t="inlineStr">
        <is>
          <t>South</t>
        </is>
      </c>
      <c r="J315" s="7" t="n">
        <v>67</v>
      </c>
      <c r="K315" s="7" t="n">
        <v>6.21</v>
      </c>
      <c r="L315" s="7" t="n">
        <v>416.14</v>
      </c>
      <c r="M315" s="7" t="inlineStr">
        <is>
          <t>Overdue</t>
        </is>
      </c>
      <c r="N315" s="7">
        <f>IF(OR(E315="Apex Office Supplies",E315="Apex Office Supply Ltd"),"Apex Office Supplies",IF(OR(E315="Northstar IT Services",E315="North Star IT Svc"),"Northstar IT Services",IF(OR(E315="Metro Logistics",E315="Metro Logistics Pvt Ltd"),"Metro Logistics",E315)))</f>
        <v/>
      </c>
      <c r="O315" s="7">
        <f>IF(AND(ISNUMBER(L315),L315&gt;0),"Valid","Review")</f>
        <v/>
      </c>
      <c r="P315" s="7">
        <f>IF(OR(E315="",F315="",NOT(ISNUMBER(L315))),"Check Missing/Invalid Data","OK")</f>
        <v/>
      </c>
    </row>
    <row r="316">
      <c r="A316" s="7" t="inlineStr">
        <is>
          <t>PO-00261</t>
        </is>
      </c>
      <c r="B316" s="9" t="n">
        <v>45851</v>
      </c>
      <c r="C316" s="7" t="inlineStr">
        <is>
          <t>Purchase Order</t>
        </is>
      </c>
      <c r="D316" s="7" t="inlineStr">
        <is>
          <t>SUP011</t>
        </is>
      </c>
      <c r="E316" s="7">
        <f>IF(E316="","Unknown Supplier",TRIM(E316))</f>
        <v/>
      </c>
      <c r="F316" s="7">
        <f>IF(F316="","Unclassified",TRIM(F316))</f>
        <v/>
      </c>
      <c r="G316" s="7" t="inlineStr">
        <is>
          <t>Promotional materials</t>
        </is>
      </c>
      <c r="H316" s="7" t="inlineStr">
        <is>
          <t>Manufacturing</t>
        </is>
      </c>
      <c r="I316" s="7" t="inlineStr">
        <is>
          <t>South</t>
        </is>
      </c>
      <c r="J316" s="7" t="n">
        <v>10</v>
      </c>
      <c r="K316" s="7" t="n">
        <v>82.70999999999999</v>
      </c>
      <c r="L316" s="7" t="n">
        <v>827.11</v>
      </c>
      <c r="M316" s="7" t="inlineStr">
        <is>
          <t>Pending</t>
        </is>
      </c>
      <c r="N316" s="7">
        <f>IF(OR(E316="Apex Office Supplies",E316="Apex Office Supply Ltd"),"Apex Office Supplies",IF(OR(E316="Northstar IT Services",E316="North Star IT Svc"),"Northstar IT Services",IF(OR(E316="Metro Logistics",E316="Metro Logistics Pvt Ltd"),"Metro Logistics",E316)))</f>
        <v/>
      </c>
      <c r="O316" s="7">
        <f>IF(AND(ISNUMBER(L316),L316&gt;0),"Valid","Review")</f>
        <v/>
      </c>
      <c r="P316" s="7">
        <f>IF(OR(E316="",F316="",NOT(ISNUMBER(L316))),"Check Missing/Invalid Data","OK")</f>
        <v/>
      </c>
    </row>
    <row r="317">
      <c r="A317" s="7" t="inlineStr">
        <is>
          <t>PO-00275</t>
        </is>
      </c>
      <c r="B317" s="9" t="n">
        <v>45852</v>
      </c>
      <c r="C317" s="7" t="inlineStr">
        <is>
          <t>Goods Receipt</t>
        </is>
      </c>
      <c r="D317" s="7" t="inlineStr">
        <is>
          <t>SUP007</t>
        </is>
      </c>
      <c r="E317" s="7">
        <f>IF(E317="","Unknown Supplier",TRIM(E317))</f>
        <v/>
      </c>
      <c r="F317" s="7">
        <f>IF(F317="","Unclassified",TRIM(F317))</f>
        <v/>
      </c>
      <c r="G317" s="7" t="inlineStr">
        <is>
          <t>Cleaning services</t>
        </is>
      </c>
      <c r="H317" s="7" t="inlineStr">
        <is>
          <t>Corporate</t>
        </is>
      </c>
      <c r="I317" s="7" t="inlineStr">
        <is>
          <t>West</t>
        </is>
      </c>
      <c r="J317" s="7" t="n">
        <v>2</v>
      </c>
      <c r="K317" s="7" t="n">
        <v>561.67</v>
      </c>
      <c r="L317" s="7" t="n">
        <v>1123.34</v>
      </c>
      <c r="M317" s="7" t="inlineStr">
        <is>
          <t>Pending</t>
        </is>
      </c>
      <c r="N317" s="7">
        <f>IF(OR(E317="Apex Office Supplies",E317="Apex Office Supply Ltd"),"Apex Office Supplies",IF(OR(E317="Northstar IT Services",E317="North Star IT Svc"),"Northstar IT Services",IF(OR(E317="Metro Logistics",E317="Metro Logistics Pvt Ltd"),"Metro Logistics",E317)))</f>
        <v/>
      </c>
      <c r="O317" s="7">
        <f>IF(AND(ISNUMBER(L317),L317&gt;0),"Valid","Review")</f>
        <v/>
      </c>
      <c r="P317" s="7">
        <f>IF(OR(E317="",F317="",NOT(ISNUMBER(L317))),"Check Missing/Invalid Data","OK")</f>
        <v/>
      </c>
    </row>
    <row r="318">
      <c r="A318" s="7" t="inlineStr">
        <is>
          <t>PO-00113</t>
        </is>
      </c>
      <c r="B318" s="9" t="n">
        <v>45853</v>
      </c>
      <c r="C318" s="7" t="inlineStr">
        <is>
          <t>Purchase Order</t>
        </is>
      </c>
      <c r="D318" s="7" t="inlineStr">
        <is>
          <t>SUP010</t>
        </is>
      </c>
      <c r="E318" s="7">
        <f>IF(E318="","Unknown Supplier",TRIM(E318))</f>
        <v/>
      </c>
      <c r="F318" s="7">
        <f>IF(F318="","Unclassified",TRIM(F318))</f>
        <v/>
      </c>
      <c r="G318" s="7" t="inlineStr">
        <is>
          <t>Electricity</t>
        </is>
      </c>
      <c r="H318" s="7" t="inlineStr">
        <is>
          <t>Sales</t>
        </is>
      </c>
      <c r="I318" s="7" t="inlineStr">
        <is>
          <t>East</t>
        </is>
      </c>
      <c r="J318" s="7" t="n">
        <v>75</v>
      </c>
      <c r="K318" s="7" t="n">
        <v>120.24</v>
      </c>
      <c r="L318" s="7" t="n">
        <v>9018.290000000001</v>
      </c>
      <c r="M318" s="7" t="inlineStr">
        <is>
          <t>Pending</t>
        </is>
      </c>
      <c r="N318" s="7">
        <f>IF(OR(E318="Apex Office Supplies",E318="Apex Office Supply Ltd"),"Apex Office Supplies",IF(OR(E318="Northstar IT Services",E318="North Star IT Svc"),"Northstar IT Services",IF(OR(E318="Metro Logistics",E318="Metro Logistics Pvt Ltd"),"Metro Logistics",E318)))</f>
        <v/>
      </c>
      <c r="O318" s="7">
        <f>IF(AND(ISNUMBER(L318),L318&gt;0),"Valid","Review")</f>
        <v/>
      </c>
      <c r="P318" s="7">
        <f>IF(OR(E318="",F318="",NOT(ISNUMBER(L318))),"Check Missing/Invalid Data","OK")</f>
        <v/>
      </c>
    </row>
    <row r="319">
      <c r="A319" s="7" t="inlineStr">
        <is>
          <t>PO-00525</t>
        </is>
      </c>
      <c r="B319" s="9" t="n">
        <v>45854</v>
      </c>
      <c r="C319" s="7" t="inlineStr">
        <is>
          <t>Goods Receipt</t>
        </is>
      </c>
      <c r="D319" s="7" t="inlineStr">
        <is>
          <t>SUP007</t>
        </is>
      </c>
      <c r="E319" s="7">
        <f>IF(E319="","Unknown Supplier",TRIM(E319))</f>
        <v/>
      </c>
      <c r="F319" s="7">
        <f>IF(F319="","Unclassified",TRIM(F319))</f>
        <v/>
      </c>
      <c r="G319" s="7" t="inlineStr">
        <is>
          <t>Cleaning services</t>
        </is>
      </c>
      <c r="H319" s="7" t="inlineStr">
        <is>
          <t>Operations</t>
        </is>
      </c>
      <c r="I319" s="7" t="inlineStr">
        <is>
          <t>West</t>
        </is>
      </c>
      <c r="J319" s="7" t="n">
        <v>92</v>
      </c>
      <c r="K319" s="7" t="n">
        <v>102.56</v>
      </c>
      <c r="L319" s="7" t="n">
        <v>9435.58</v>
      </c>
      <c r="M319" s="7" t="inlineStr">
        <is>
          <t>Pending</t>
        </is>
      </c>
      <c r="N319" s="7">
        <f>IF(OR(E319="Apex Office Supplies",E319="Apex Office Supply Ltd"),"Apex Office Supplies",IF(OR(E319="Northstar IT Services",E319="North Star IT Svc"),"Northstar IT Services",IF(OR(E319="Metro Logistics",E319="Metro Logistics Pvt Ltd"),"Metro Logistics",E319)))</f>
        <v/>
      </c>
      <c r="O319" s="7">
        <f>IF(AND(ISNUMBER(L319),L319&gt;0),"Valid","Review")</f>
        <v/>
      </c>
      <c r="P319" s="7">
        <f>IF(OR(E319="",F319="",NOT(ISNUMBER(L319))),"Check Missing/Invalid Data","OK")</f>
        <v/>
      </c>
    </row>
    <row r="320">
      <c r="A320" s="7" t="inlineStr">
        <is>
          <t>PO-00313</t>
        </is>
      </c>
      <c r="B320" s="9" t="n">
        <v>45854</v>
      </c>
      <c r="C320" s="7" t="inlineStr">
        <is>
          <t>Invoice</t>
        </is>
      </c>
      <c r="D320" s="7" t="inlineStr">
        <is>
          <t>SUP009</t>
        </is>
      </c>
      <c r="E320" s="7">
        <f>IF(E320="","Unknown Supplier",TRIM(E320))</f>
        <v/>
      </c>
      <c r="F320" s="7">
        <f>IF(F320="","Unclassified",TRIM(F320))</f>
        <v/>
      </c>
      <c r="G320" s="7" t="inlineStr">
        <is>
          <t>Training services</t>
        </is>
      </c>
      <c r="H320" s="7" t="inlineStr">
        <is>
          <t>Sales</t>
        </is>
      </c>
      <c r="I320" s="7" t="inlineStr">
        <is>
          <t>West</t>
        </is>
      </c>
      <c r="J320" s="7" t="n">
        <v>88</v>
      </c>
      <c r="K320" s="7" t="n">
        <v>173.29</v>
      </c>
      <c r="L320" s="7" t="n">
        <v>15249.1</v>
      </c>
      <c r="M320" s="7" t="inlineStr">
        <is>
          <t>Paid</t>
        </is>
      </c>
      <c r="N320" s="7">
        <f>IF(OR(E320="Apex Office Supplies",E320="Apex Office Supply Ltd"),"Apex Office Supplies",IF(OR(E320="Northstar IT Services",E320="North Star IT Svc"),"Northstar IT Services",IF(OR(E320="Metro Logistics",E320="Metro Logistics Pvt Ltd"),"Metro Logistics",E320)))</f>
        <v/>
      </c>
      <c r="O320" s="7">
        <f>IF(AND(ISNUMBER(L320),L320&gt;0),"Valid","Review")</f>
        <v/>
      </c>
      <c r="P320" s="7">
        <f>IF(OR(E320="",F320="",NOT(ISNUMBER(L320))),"Check Missing/Invalid Data","OK")</f>
        <v/>
      </c>
    </row>
    <row r="321">
      <c r="A321" s="7" t="inlineStr">
        <is>
          <t>PO-00216</t>
        </is>
      </c>
      <c r="B321" s="9" t="n">
        <v>45855</v>
      </c>
      <c r="C321" s="7" t="inlineStr">
        <is>
          <t>Goods Receipt</t>
        </is>
      </c>
      <c r="D321" s="7" t="inlineStr">
        <is>
          <t>SUP009</t>
        </is>
      </c>
      <c r="E321" s="7">
        <f>IF(E321="","Unknown Supplier",TRIM(E321))</f>
        <v/>
      </c>
      <c r="F321" s="7">
        <f>IF(F321="","Unclassified",TRIM(F321))</f>
        <v/>
      </c>
      <c r="G321" s="7" t="inlineStr">
        <is>
          <t>Audit support</t>
        </is>
      </c>
      <c r="H321" s="7" t="inlineStr">
        <is>
          <t>Manufacturing</t>
        </is>
      </c>
      <c r="I321" s="7" t="inlineStr">
        <is>
          <t>North</t>
        </is>
      </c>
      <c r="J321" s="7" t="n">
        <v>106</v>
      </c>
      <c r="K321" s="7" t="n">
        <v>159.6</v>
      </c>
      <c r="L321" s="7" t="n">
        <v>16917.46</v>
      </c>
      <c r="M321" s="7" t="inlineStr">
        <is>
          <t>Paid</t>
        </is>
      </c>
      <c r="N321" s="7">
        <f>IF(OR(E321="Apex Office Supplies",E321="Apex Office Supply Ltd"),"Apex Office Supplies",IF(OR(E321="Northstar IT Services",E321="North Star IT Svc"),"Northstar IT Services",IF(OR(E321="Metro Logistics",E321="Metro Logistics Pvt Ltd"),"Metro Logistics",E321)))</f>
        <v/>
      </c>
      <c r="O321" s="7">
        <f>IF(AND(ISNUMBER(L321),L321&gt;0),"Valid","Review")</f>
        <v/>
      </c>
      <c r="P321" s="7">
        <f>IF(OR(E321="",F321="",NOT(ISNUMBER(L321))),"Check Missing/Invalid Data","OK")</f>
        <v/>
      </c>
    </row>
    <row r="322">
      <c r="A322" s="7" t="inlineStr">
        <is>
          <t>PO-00338</t>
        </is>
      </c>
      <c r="B322" s="9" t="n">
        <v>45855</v>
      </c>
      <c r="C322" s="7" t="inlineStr">
        <is>
          <t>Goods Receipt</t>
        </is>
      </c>
      <c r="D322" s="7" t="inlineStr">
        <is>
          <t>SUP002</t>
        </is>
      </c>
      <c r="E322" s="7">
        <f>IF(E322="","Unknown Supplier",TRIM(E322))</f>
        <v/>
      </c>
      <c r="F322" s="7">
        <f>IF(F322="","Unclassified",TRIM(F322))</f>
        <v/>
      </c>
      <c r="G322" s="7" t="inlineStr">
        <is>
          <t>Printer paper</t>
        </is>
      </c>
      <c r="H322" s="7" t="inlineStr">
        <is>
          <t>Technology</t>
        </is>
      </c>
      <c r="I322" s="7" t="inlineStr">
        <is>
          <t>East</t>
        </is>
      </c>
      <c r="J322" s="7" t="n">
        <v>10</v>
      </c>
      <c r="K322" s="7" t="n">
        <v>1152.89</v>
      </c>
      <c r="L322" s="7" t="n">
        <v>11528.91</v>
      </c>
      <c r="M322" s="7" t="inlineStr">
        <is>
          <t>Paid</t>
        </is>
      </c>
      <c r="N322" s="7">
        <f>IF(OR(E322="Apex Office Supplies",E322="Apex Office Supply Ltd"),"Apex Office Supplies",IF(OR(E322="Northstar IT Services",E322="North Star IT Svc"),"Northstar IT Services",IF(OR(E322="Metro Logistics",E322="Metro Logistics Pvt Ltd"),"Metro Logistics",E322)))</f>
        <v/>
      </c>
      <c r="O322" s="7">
        <f>IF(AND(ISNUMBER(L322),L322&gt;0),"Valid","Review")</f>
        <v/>
      </c>
      <c r="P322" s="7">
        <f>IF(OR(E322="",F322="",NOT(ISNUMBER(L322))),"Check Missing/Invalid Data","OK")</f>
        <v/>
      </c>
    </row>
    <row r="323">
      <c r="A323" s="7" t="inlineStr">
        <is>
          <t>PO-00400</t>
        </is>
      </c>
      <c r="B323" s="9" t="n">
        <v>45856</v>
      </c>
      <c r="C323" s="7" t="inlineStr">
        <is>
          <t>Goods Receipt</t>
        </is>
      </c>
      <c r="D323" s="7" t="inlineStr">
        <is>
          <t>SUP009</t>
        </is>
      </c>
      <c r="E323" s="7">
        <f>IF(E323="","Unknown Supplier",TRIM(E323))</f>
        <v/>
      </c>
      <c r="F323" s="7">
        <f>IF(F323="","Unclassified",TRIM(F323))</f>
        <v/>
      </c>
      <c r="G323" s="7" t="inlineStr">
        <is>
          <t>Training services</t>
        </is>
      </c>
      <c r="H323" s="7" t="inlineStr">
        <is>
          <t>Corporate</t>
        </is>
      </c>
      <c r="I323" s="7" t="inlineStr">
        <is>
          <t>West</t>
        </is>
      </c>
      <c r="J323" s="7" t="n">
        <v>36</v>
      </c>
      <c r="K323" s="7" t="n">
        <v>281.03</v>
      </c>
      <c r="L323" s="7" t="n">
        <v>10116.95</v>
      </c>
      <c r="M323" s="7" t="inlineStr">
        <is>
          <t>Paid</t>
        </is>
      </c>
      <c r="N323" s="7">
        <f>IF(OR(E323="Apex Office Supplies",E323="Apex Office Supply Ltd"),"Apex Office Supplies",IF(OR(E323="Northstar IT Services",E323="North Star IT Svc"),"Northstar IT Services",IF(OR(E323="Metro Logistics",E323="Metro Logistics Pvt Ltd"),"Metro Logistics",E323)))</f>
        <v/>
      </c>
      <c r="O323" s="7">
        <f>IF(AND(ISNUMBER(L323),L323&gt;0),"Valid","Review")</f>
        <v/>
      </c>
      <c r="P323" s="7">
        <f>IF(OR(E323="",F323="",NOT(ISNUMBER(L323))),"Check Missing/Invalid Data","OK")</f>
        <v/>
      </c>
    </row>
    <row r="324">
      <c r="A324" s="7" t="inlineStr">
        <is>
          <t>PO-00308</t>
        </is>
      </c>
      <c r="B324" s="9" t="n">
        <v>45856</v>
      </c>
      <c r="C324" s="7" t="inlineStr">
        <is>
          <t>Invoice</t>
        </is>
      </c>
      <c r="D324" s="7" t="inlineStr">
        <is>
          <t>SUP010</t>
        </is>
      </c>
      <c r="E324" s="7">
        <f>IF(E324="","Unknown Supplier",TRIM(E324))</f>
        <v/>
      </c>
      <c r="F324" s="7">
        <f>IF(F324="","Unclassified",TRIM(F324))</f>
        <v/>
      </c>
      <c r="G324" s="7" t="inlineStr">
        <is>
          <t>Natural gas</t>
        </is>
      </c>
      <c r="H324" s="7" t="inlineStr">
        <is>
          <t>Operations</t>
        </is>
      </c>
      <c r="I324" s="7" t="inlineStr">
        <is>
          <t>East</t>
        </is>
      </c>
      <c r="J324" s="7" t="n">
        <v>46</v>
      </c>
      <c r="K324" s="7" t="n">
        <v>47.01</v>
      </c>
      <c r="L324" s="7" t="n">
        <v>2162.47</v>
      </c>
      <c r="M324" s="7" t="inlineStr">
        <is>
          <t>Overdue</t>
        </is>
      </c>
      <c r="N324" s="7">
        <f>IF(OR(E324="Apex Office Supplies",E324="Apex Office Supply Ltd"),"Apex Office Supplies",IF(OR(E324="Northstar IT Services",E324="North Star IT Svc"),"Northstar IT Services",IF(OR(E324="Metro Logistics",E324="Metro Logistics Pvt Ltd"),"Metro Logistics",E324)))</f>
        <v/>
      </c>
      <c r="O324" s="7">
        <f>IF(AND(ISNUMBER(L324),L324&gt;0),"Valid","Review")</f>
        <v/>
      </c>
      <c r="P324" s="7">
        <f>IF(OR(E324="",F324="",NOT(ISNUMBER(L324))),"Check Missing/Invalid Data","OK")</f>
        <v/>
      </c>
    </row>
    <row r="325">
      <c r="A325" s="7" t="inlineStr">
        <is>
          <t>PO-00164</t>
        </is>
      </c>
      <c r="B325" s="9" t="n">
        <v>45856</v>
      </c>
      <c r="C325" s="7" t="inlineStr">
        <is>
          <t>Goods Receipt</t>
        </is>
      </c>
      <c r="D325" s="7" t="inlineStr">
        <is>
          <t>SUP007</t>
        </is>
      </c>
      <c r="E325" s="7">
        <f>IF(E325="","Unknown Supplier",TRIM(E325))</f>
        <v/>
      </c>
      <c r="F325" s="7">
        <f>IF(F325="","Unclassified",TRIM(F325))</f>
        <v/>
      </c>
      <c r="G325" s="7" t="inlineStr">
        <is>
          <t>Security services</t>
        </is>
      </c>
      <c r="H325" s="7" t="inlineStr">
        <is>
          <t>Technology</t>
        </is>
      </c>
      <c r="I325" s="7" t="inlineStr">
        <is>
          <t>North</t>
        </is>
      </c>
      <c r="J325" s="7" t="n">
        <v>7</v>
      </c>
      <c r="K325" s="7" t="n">
        <v>1751.24</v>
      </c>
      <c r="L325" s="7" t="n">
        <v>12258.69</v>
      </c>
      <c r="M325" s="7" t="inlineStr">
        <is>
          <t>Pending</t>
        </is>
      </c>
      <c r="N325" s="7">
        <f>IF(OR(E325="Apex Office Supplies",E325="Apex Office Supply Ltd"),"Apex Office Supplies",IF(OR(E325="Northstar IT Services",E325="North Star IT Svc"),"Northstar IT Services",IF(OR(E325="Metro Logistics",E325="Metro Logistics Pvt Ltd"),"Metro Logistics",E325)))</f>
        <v/>
      </c>
      <c r="O325" s="7">
        <f>IF(AND(ISNUMBER(L325),L325&gt;0),"Valid","Review")</f>
        <v/>
      </c>
      <c r="P325" s="7">
        <f>IF(OR(E325="",F325="",NOT(ISNUMBER(L325))),"Check Missing/Invalid Data","OK")</f>
        <v/>
      </c>
    </row>
    <row r="326">
      <c r="A326" s="7" t="inlineStr">
        <is>
          <t>PO-00339</t>
        </is>
      </c>
      <c r="B326" s="9" t="n">
        <v>45856</v>
      </c>
      <c r="C326" s="7" t="inlineStr">
        <is>
          <t>Invoice</t>
        </is>
      </c>
      <c r="D326" s="7" t="inlineStr">
        <is>
          <t>SUP010</t>
        </is>
      </c>
      <c r="E326" s="7">
        <f>IF(E326="","Unknown Supplier",TRIM(E326))</f>
        <v/>
      </c>
      <c r="F326" s="7">
        <f>IF(F326="","Unclassified",TRIM(F326))</f>
        <v/>
      </c>
      <c r="G326" s="7" t="inlineStr">
        <is>
          <t>Electricity</t>
        </is>
      </c>
      <c r="H326" s="7" t="inlineStr">
        <is>
          <t>Corporate</t>
        </is>
      </c>
      <c r="I326" s="7" t="inlineStr">
        <is>
          <t>North</t>
        </is>
      </c>
      <c r="J326" s="7" t="n">
        <v>23</v>
      </c>
      <c r="K326" s="7" t="n">
        <v>429.95</v>
      </c>
      <c r="L326" s="7" t="n">
        <v>9888.85</v>
      </c>
      <c r="M326" s="7" t="inlineStr">
        <is>
          <t>Paid</t>
        </is>
      </c>
      <c r="N326" s="7">
        <f>IF(OR(E326="Apex Office Supplies",E326="Apex Office Supply Ltd"),"Apex Office Supplies",IF(OR(E326="Northstar IT Services",E326="North Star IT Svc"),"Northstar IT Services",IF(OR(E326="Metro Logistics",E326="Metro Logistics Pvt Ltd"),"Metro Logistics",E326)))</f>
        <v/>
      </c>
      <c r="O326" s="7">
        <f>IF(AND(ISNUMBER(L326),L326&gt;0),"Valid","Review")</f>
        <v/>
      </c>
      <c r="P326" s="7">
        <f>IF(OR(E326="",F326="",NOT(ISNUMBER(L326))),"Check Missing/Invalid Data","OK")</f>
        <v/>
      </c>
    </row>
    <row r="327">
      <c r="A327" s="7" t="inlineStr">
        <is>
          <t>PO-00183</t>
        </is>
      </c>
      <c r="B327" s="9" t="n">
        <v>45856</v>
      </c>
      <c r="C327" s="7" t="inlineStr">
        <is>
          <t>Purchase Order</t>
        </is>
      </c>
      <c r="D327" s="7" t="inlineStr">
        <is>
          <t>SUP006</t>
        </is>
      </c>
      <c r="E327" s="7">
        <f>IF(E327="","Unknown Supplier",TRIM(E327))</f>
        <v/>
      </c>
      <c r="F327" s="7">
        <f>IF(F327="","Unclassified",TRIM(F327))</f>
        <v/>
      </c>
      <c r="G327" s="7" t="inlineStr">
        <is>
          <t>Courier services</t>
        </is>
      </c>
      <c r="H327" s="7" t="inlineStr">
        <is>
          <t>Operations</t>
        </is>
      </c>
      <c r="I327" s="7" t="inlineStr">
        <is>
          <t>North</t>
        </is>
      </c>
      <c r="J327" s="7" t="n">
        <v>101</v>
      </c>
      <c r="K327" s="7" t="n">
        <v>6.91</v>
      </c>
      <c r="L327" s="7" t="n">
        <v>697.7</v>
      </c>
      <c r="M327" s="7" t="inlineStr">
        <is>
          <t>Overdue</t>
        </is>
      </c>
      <c r="N327" s="7">
        <f>IF(OR(E327="Apex Office Supplies",E327="Apex Office Supply Ltd"),"Apex Office Supplies",IF(OR(E327="Northstar IT Services",E327="North Star IT Svc"),"Northstar IT Services",IF(OR(E327="Metro Logistics",E327="Metro Logistics Pvt Ltd"),"Metro Logistics",E327)))</f>
        <v/>
      </c>
      <c r="O327" s="7">
        <f>IF(AND(ISNUMBER(L327),L327&gt;0),"Valid","Review")</f>
        <v/>
      </c>
      <c r="P327" s="7">
        <f>IF(OR(E327="",F327="",NOT(ISNUMBER(L327))),"Check Missing/Invalid Data","OK")</f>
        <v/>
      </c>
    </row>
    <row r="328">
      <c r="A328" s="7" t="inlineStr">
        <is>
          <t>PO-00028</t>
        </is>
      </c>
      <c r="B328" s="9" t="n">
        <v>45857</v>
      </c>
      <c r="C328" s="7" t="inlineStr">
        <is>
          <t>Invoice</t>
        </is>
      </c>
      <c r="D328" s="7" t="inlineStr">
        <is>
          <t>SUP005</t>
        </is>
      </c>
      <c r="E328" s="7">
        <f>IF(E328="","Unknown Supplier",TRIM(E328))</f>
        <v/>
      </c>
      <c r="F328" s="7">
        <f>IF(F328="","Unclassified",TRIM(F328))</f>
        <v/>
      </c>
      <c r="G328" s="7" t="inlineStr">
        <is>
          <t>Warehouse handling</t>
        </is>
      </c>
      <c r="H328" s="7" t="inlineStr">
        <is>
          <t>Manufacturing</t>
        </is>
      </c>
      <c r="I328" s="7" t="inlineStr">
        <is>
          <t>West</t>
        </is>
      </c>
      <c r="J328" s="7" t="n">
        <v>37</v>
      </c>
      <c r="K328" s="7" t="n">
        <v>650.51</v>
      </c>
      <c r="L328" s="7" t="n">
        <v>24068.79</v>
      </c>
      <c r="M328" s="7" t="inlineStr">
        <is>
          <t>Paid</t>
        </is>
      </c>
      <c r="N328" s="7">
        <f>IF(OR(E328="Apex Office Supplies",E328="Apex Office Supply Ltd"),"Apex Office Supplies",IF(OR(E328="Northstar IT Services",E328="North Star IT Svc"),"Northstar IT Services",IF(OR(E328="Metro Logistics",E328="Metro Logistics Pvt Ltd"),"Metro Logistics",E328)))</f>
        <v/>
      </c>
      <c r="O328" s="7">
        <f>IF(AND(ISNUMBER(L328),L328&gt;0),"Valid","Review")</f>
        <v/>
      </c>
      <c r="P328" s="7">
        <f>IF(OR(E328="",F328="",NOT(ISNUMBER(L328))),"Check Missing/Invalid Data","OK")</f>
        <v/>
      </c>
    </row>
    <row r="329">
      <c r="A329" s="7" t="inlineStr">
        <is>
          <t>PO-00033</t>
        </is>
      </c>
      <c r="B329" s="9" t="n">
        <v>45860</v>
      </c>
      <c r="C329" s="7" t="inlineStr">
        <is>
          <t>Purchase Order</t>
        </is>
      </c>
      <c r="D329" s="7" t="inlineStr">
        <is>
          <t>SUP003</t>
        </is>
      </c>
      <c r="E329" s="7">
        <f>IF(E329="","Unknown Supplier",TRIM(E329))</f>
        <v/>
      </c>
      <c r="F329" s="7">
        <f>IF(F329="","Unclassified",TRIM(F329))</f>
        <v/>
      </c>
      <c r="G329" s="7" t="inlineStr">
        <is>
          <t>Software support</t>
        </is>
      </c>
      <c r="H329" s="7" t="inlineStr">
        <is>
          <t>Sales</t>
        </is>
      </c>
      <c r="I329" s="7" t="inlineStr">
        <is>
          <t>North</t>
        </is>
      </c>
      <c r="J329" s="7" t="n">
        <v>41</v>
      </c>
      <c r="K329" s="7" t="n">
        <v>227.38</v>
      </c>
      <c r="L329" s="7" t="n">
        <v>9322.709999999999</v>
      </c>
      <c r="M329" s="7" t="inlineStr">
        <is>
          <t>Paid</t>
        </is>
      </c>
      <c r="N329" s="7">
        <f>IF(OR(E329="Apex Office Supplies",E329="Apex Office Supply Ltd"),"Apex Office Supplies",IF(OR(E329="Northstar IT Services",E329="North Star IT Svc"),"Northstar IT Services",IF(OR(E329="Metro Logistics",E329="Metro Logistics Pvt Ltd"),"Metro Logistics",E329)))</f>
        <v/>
      </c>
      <c r="O329" s="7">
        <f>IF(AND(ISNUMBER(L329),L329&gt;0),"Valid","Review")</f>
        <v/>
      </c>
      <c r="P329" s="7">
        <f>IF(OR(E329="",F329="",NOT(ISNUMBER(L329))),"Check Missing/Invalid Data","OK")</f>
        <v/>
      </c>
    </row>
    <row r="330">
      <c r="A330" s="7" t="inlineStr">
        <is>
          <t>PO-00528</t>
        </is>
      </c>
      <c r="B330" s="9" t="n">
        <v>45860</v>
      </c>
      <c r="C330" s="7" t="inlineStr">
        <is>
          <t>Goods Receipt</t>
        </is>
      </c>
      <c r="D330" s="7" t="inlineStr">
        <is>
          <t>SUP007</t>
        </is>
      </c>
      <c r="E330" s="7">
        <f>IF(E330="","Unknown Supplier",TRIM(E330))</f>
        <v/>
      </c>
      <c r="F330" s="7">
        <f>IF(F330="","Unclassified",TRIM(F330))</f>
        <v/>
      </c>
      <c r="G330" s="7" t="inlineStr">
        <is>
          <t>Cleaning services</t>
        </is>
      </c>
      <c r="H330" s="7" t="inlineStr">
        <is>
          <t>Corporate</t>
        </is>
      </c>
      <c r="I330" s="7" t="inlineStr">
        <is>
          <t>East</t>
        </is>
      </c>
      <c r="J330" s="7" t="n">
        <v>95</v>
      </c>
      <c r="K330" s="7" t="n">
        <v>98.70999999999999</v>
      </c>
      <c r="L330" s="7" t="n">
        <v>9377.24</v>
      </c>
      <c r="M330" s="7" t="inlineStr">
        <is>
          <t>Overdue</t>
        </is>
      </c>
      <c r="N330" s="7">
        <f>IF(OR(E330="Apex Office Supplies",E330="Apex Office Supply Ltd"),"Apex Office Supplies",IF(OR(E330="Northstar IT Services",E330="North Star IT Svc"),"Northstar IT Services",IF(OR(E330="Metro Logistics",E330="Metro Logistics Pvt Ltd"),"Metro Logistics",E330)))</f>
        <v/>
      </c>
      <c r="O330" s="7">
        <f>IF(AND(ISNUMBER(L330),L330&gt;0),"Valid","Review")</f>
        <v/>
      </c>
      <c r="P330" s="7">
        <f>IF(OR(E330="",F330="",NOT(ISNUMBER(L330))),"Check Missing/Invalid Data","OK")</f>
        <v/>
      </c>
    </row>
    <row r="331">
      <c r="A331" s="7" t="inlineStr">
        <is>
          <t>PO-00153</t>
        </is>
      </c>
      <c r="B331" s="9" t="n">
        <v>45861</v>
      </c>
      <c r="C331" s="7" t="inlineStr">
        <is>
          <t>Invoice</t>
        </is>
      </c>
      <c r="D331" s="7" t="inlineStr">
        <is>
          <t>SUP012</t>
        </is>
      </c>
      <c r="E331" s="7">
        <f>IF(E331="","Unknown Supplier",TRIM(E331))</f>
        <v/>
      </c>
      <c r="F331" s="7">
        <f>IF(F331="","Unclassified",TRIM(F331))</f>
        <v/>
      </c>
      <c r="G331" s="7" t="inlineStr">
        <is>
          <t>Toner cartridges</t>
        </is>
      </c>
      <c r="H331" s="7" t="inlineStr">
        <is>
          <t>Sales</t>
        </is>
      </c>
      <c r="I331" s="7" t="inlineStr">
        <is>
          <t>West</t>
        </is>
      </c>
      <c r="J331" s="7" t="n">
        <v>10</v>
      </c>
      <c r="K331" s="7" t="n">
        <v>834.04</v>
      </c>
      <c r="L331" s="7" t="n">
        <v>8340.41</v>
      </c>
      <c r="M331" s="7" t="inlineStr">
        <is>
          <t>Overdue</t>
        </is>
      </c>
      <c r="N331" s="7">
        <f>IF(OR(E331="Apex Office Supplies",E331="Apex Office Supply Ltd"),"Apex Office Supplies",IF(OR(E331="Northstar IT Services",E331="North Star IT Svc"),"Northstar IT Services",IF(OR(E331="Metro Logistics",E331="Metro Logistics Pvt Ltd"),"Metro Logistics",E331)))</f>
        <v/>
      </c>
      <c r="O331" s="7">
        <f>IF(AND(ISNUMBER(L331),L331&gt;0),"Valid","Review")</f>
        <v/>
      </c>
      <c r="P331" s="7">
        <f>IF(OR(E331="",F331="",NOT(ISNUMBER(L331))),"Check Missing/Invalid Data","OK")</f>
        <v/>
      </c>
    </row>
    <row r="332">
      <c r="A332" s="7" t="inlineStr">
        <is>
          <t>PO-00462</t>
        </is>
      </c>
      <c r="B332" s="9" t="n">
        <v>45861</v>
      </c>
      <c r="C332" s="7" t="inlineStr">
        <is>
          <t>Purchase Order</t>
        </is>
      </c>
      <c r="D332" s="7" t="inlineStr">
        <is>
          <t>SUP006</t>
        </is>
      </c>
      <c r="E332" s="7">
        <f>IF(E332="","Unknown Supplier",TRIM(E332))</f>
        <v/>
      </c>
      <c r="F332" s="7">
        <f>IF(F332="","Unclassified",TRIM(F332))</f>
        <v/>
      </c>
      <c r="G332" s="7" t="inlineStr">
        <is>
          <t>Courier services</t>
        </is>
      </c>
      <c r="H332" s="7" t="inlineStr">
        <is>
          <t>Manufacturing</t>
        </is>
      </c>
      <c r="I332" s="7" t="inlineStr">
        <is>
          <t>East</t>
        </is>
      </c>
      <c r="J332" s="7" t="n">
        <v>18</v>
      </c>
      <c r="K332" s="7" t="n">
        <v>776.04</v>
      </c>
      <c r="L332" s="7" t="n">
        <v>13968.7</v>
      </c>
      <c r="M332" s="7" t="inlineStr">
        <is>
          <t>Overdue</t>
        </is>
      </c>
      <c r="N332" s="7">
        <f>IF(OR(E332="Apex Office Supplies",E332="Apex Office Supply Ltd"),"Apex Office Supplies",IF(OR(E332="Northstar IT Services",E332="North Star IT Svc"),"Northstar IT Services",IF(OR(E332="Metro Logistics",E332="Metro Logistics Pvt Ltd"),"Metro Logistics",E332)))</f>
        <v/>
      </c>
      <c r="O332" s="7">
        <f>IF(AND(ISNUMBER(L332),L332&gt;0),"Valid","Review")</f>
        <v/>
      </c>
      <c r="P332" s="7">
        <f>IF(OR(E332="",F332="",NOT(ISNUMBER(L332))),"Check Missing/Invalid Data","OK")</f>
        <v/>
      </c>
    </row>
    <row r="333">
      <c r="A333" s="7" t="inlineStr">
        <is>
          <t>PO-00325</t>
        </is>
      </c>
      <c r="B333" s="9" t="n">
        <v>45861</v>
      </c>
      <c r="C333" s="7" t="inlineStr">
        <is>
          <t>Invoice</t>
        </is>
      </c>
      <c r="D333" s="7" t="inlineStr">
        <is>
          <t>SUP004</t>
        </is>
      </c>
      <c r="E333" s="7">
        <f>IF(E333="","Unknown Supplier",TRIM(E333))</f>
        <v/>
      </c>
      <c r="F333" s="7">
        <f>IF(F333="","Unclassified",TRIM(F333))</f>
        <v/>
      </c>
      <c r="G333" s="7" t="inlineStr">
        <is>
          <t>Cloud services</t>
        </is>
      </c>
      <c r="H333" s="7" t="inlineStr">
        <is>
          <t>Technology</t>
        </is>
      </c>
      <c r="I333" s="7" t="inlineStr">
        <is>
          <t>East</t>
        </is>
      </c>
      <c r="J333" s="7" t="n">
        <v>64</v>
      </c>
      <c r="K333" s="7" t="n">
        <v>394.94</v>
      </c>
      <c r="L333" s="7" t="n">
        <v>25276.07</v>
      </c>
      <c r="M333" s="7" t="inlineStr">
        <is>
          <t>Overdue</t>
        </is>
      </c>
      <c r="N333" s="7">
        <f>IF(OR(E333="Apex Office Supplies",E333="Apex Office Supply Ltd"),"Apex Office Supplies",IF(OR(E333="Northstar IT Services",E333="North Star IT Svc"),"Northstar IT Services",IF(OR(E333="Metro Logistics",E333="Metro Logistics Pvt Ltd"),"Metro Logistics",E333)))</f>
        <v/>
      </c>
      <c r="O333" s="7">
        <f>IF(AND(ISNUMBER(L333),L333&gt;0),"Valid","Review")</f>
        <v/>
      </c>
      <c r="P333" s="7">
        <f>IF(OR(E333="",F333="",NOT(ISNUMBER(L333))),"Check Missing/Invalid Data","OK")</f>
        <v/>
      </c>
    </row>
    <row r="334">
      <c r="A334" s="7" t="inlineStr">
        <is>
          <t>PO-00296</t>
        </is>
      </c>
      <c r="B334" s="9" t="n">
        <v>45863</v>
      </c>
      <c r="C334" s="7" t="inlineStr">
        <is>
          <t>Invoice</t>
        </is>
      </c>
      <c r="D334" s="7" t="inlineStr">
        <is>
          <t>SUP009</t>
        </is>
      </c>
      <c r="E334" s="7">
        <f>IF(E334="","Unknown Supplier",TRIM(E334))</f>
        <v/>
      </c>
      <c r="F334" s="7">
        <f>IF(F334="","Unclassified",TRIM(F334))</f>
        <v/>
      </c>
      <c r="G334" s="7" t="inlineStr">
        <is>
          <t>Audit support</t>
        </is>
      </c>
      <c r="H334" s="7" t="inlineStr">
        <is>
          <t>Corporate</t>
        </is>
      </c>
      <c r="I334" s="7" t="inlineStr">
        <is>
          <t>East</t>
        </is>
      </c>
      <c r="J334" s="7" t="n">
        <v>89</v>
      </c>
      <c r="K334" s="7" t="n">
        <v>316.63</v>
      </c>
      <c r="L334" s="7" t="n">
        <v>28180.24</v>
      </c>
      <c r="M334" s="7" t="inlineStr">
        <is>
          <t>Overdue</t>
        </is>
      </c>
      <c r="N334" s="7">
        <f>IF(OR(E334="Apex Office Supplies",E334="Apex Office Supply Ltd"),"Apex Office Supplies",IF(OR(E334="Northstar IT Services",E334="North Star IT Svc"),"Northstar IT Services",IF(OR(E334="Metro Logistics",E334="Metro Logistics Pvt Ltd"),"Metro Logistics",E334)))</f>
        <v/>
      </c>
      <c r="O334" s="7">
        <f>IF(AND(ISNUMBER(L334),L334&gt;0),"Valid","Review")</f>
        <v/>
      </c>
      <c r="P334" s="7">
        <f>IF(OR(E334="",F334="",NOT(ISNUMBER(L334))),"Check Missing/Invalid Data","OK")</f>
        <v/>
      </c>
    </row>
    <row r="335">
      <c r="A335" s="7" t="inlineStr">
        <is>
          <t>PO-00097</t>
        </is>
      </c>
      <c r="B335" s="9" t="n">
        <v>45864</v>
      </c>
      <c r="C335" s="7" t="inlineStr">
        <is>
          <t>Goods Receipt</t>
        </is>
      </c>
      <c r="D335" s="7" t="inlineStr">
        <is>
          <t>SUP009</t>
        </is>
      </c>
      <c r="E335" s="7">
        <f>IF(E335="","Unknown Supplier",TRIM(E335))</f>
        <v/>
      </c>
      <c r="F335" s="7">
        <f>IF(F335="","Unclassified",TRIM(F335))</f>
        <v/>
      </c>
      <c r="G335" s="7" t="inlineStr">
        <is>
          <t>Training services</t>
        </is>
      </c>
      <c r="H335" s="7" t="inlineStr">
        <is>
          <t>Sales</t>
        </is>
      </c>
      <c r="I335" s="7" t="inlineStr">
        <is>
          <t>North</t>
        </is>
      </c>
      <c r="J335" s="7" t="n">
        <v>112</v>
      </c>
      <c r="K335" s="7" t="n">
        <v>2.13</v>
      </c>
      <c r="L335" s="7" t="n">
        <v>238.99</v>
      </c>
      <c r="M335" s="7" t="inlineStr">
        <is>
          <t>Paid</t>
        </is>
      </c>
      <c r="N335" s="7">
        <f>IF(OR(E335="Apex Office Supplies",E335="Apex Office Supply Ltd"),"Apex Office Supplies",IF(OR(E335="Northstar IT Services",E335="North Star IT Svc"),"Northstar IT Services",IF(OR(E335="Metro Logistics",E335="Metro Logistics Pvt Ltd"),"Metro Logistics",E335)))</f>
        <v/>
      </c>
      <c r="O335" s="7">
        <f>IF(AND(ISNUMBER(L335),L335&gt;0),"Valid","Review")</f>
        <v/>
      </c>
      <c r="P335" s="7">
        <f>IF(OR(E335="",F335="",NOT(ISNUMBER(L335))),"Check Missing/Invalid Data","OK")</f>
        <v/>
      </c>
    </row>
    <row r="336">
      <c r="A336" s="7" t="inlineStr">
        <is>
          <t>PO-00208</t>
        </is>
      </c>
      <c r="B336" s="9" t="n">
        <v>45865</v>
      </c>
      <c r="C336" s="7" t="inlineStr">
        <is>
          <t>Invoice</t>
        </is>
      </c>
      <c r="D336" s="7" t="inlineStr">
        <is>
          <t>SUP005</t>
        </is>
      </c>
      <c r="E336" s="7">
        <f>IF(E336="","Unknown Supplier",TRIM(E336))</f>
        <v/>
      </c>
      <c r="F336" s="7">
        <f>IF(F336="","Unclassified",TRIM(F336))</f>
        <v/>
      </c>
      <c r="G336" s="7" t="inlineStr">
        <is>
          <t>Courier services</t>
        </is>
      </c>
      <c r="H336" s="7" t="inlineStr">
        <is>
          <t>Sales</t>
        </is>
      </c>
      <c r="I336" s="7" t="inlineStr">
        <is>
          <t>West</t>
        </is>
      </c>
      <c r="J336" s="7" t="n">
        <v>21</v>
      </c>
      <c r="K336" s="7" t="n">
        <v>1006.43</v>
      </c>
      <c r="L336" s="7" t="n">
        <v>21135.1</v>
      </c>
      <c r="M336" s="7" t="inlineStr">
        <is>
          <t>Paid</t>
        </is>
      </c>
      <c r="N336" s="7">
        <f>IF(OR(E336="Apex Office Supplies",E336="Apex Office Supply Ltd"),"Apex Office Supplies",IF(OR(E336="Northstar IT Services",E336="North Star IT Svc"),"Northstar IT Services",IF(OR(E336="Metro Logistics",E336="Metro Logistics Pvt Ltd"),"Metro Logistics",E336)))</f>
        <v/>
      </c>
      <c r="O336" s="7">
        <f>IF(AND(ISNUMBER(L336),L336&gt;0),"Valid","Review")</f>
        <v/>
      </c>
      <c r="P336" s="7">
        <f>IF(OR(E336="",F336="",NOT(ISNUMBER(L336))),"Check Missing/Invalid Data","OK")</f>
        <v/>
      </c>
    </row>
    <row r="337">
      <c r="A337" s="7" t="inlineStr">
        <is>
          <t>PO-00483</t>
        </is>
      </c>
      <c r="B337" s="9" t="n">
        <v>45866</v>
      </c>
      <c r="C337" s="7" t="inlineStr">
        <is>
          <t>Purchase Order</t>
        </is>
      </c>
      <c r="D337" s="7" t="inlineStr">
        <is>
          <t>SUP007</t>
        </is>
      </c>
      <c r="E337" s="7">
        <f>IF(E337="","Unknown Supplier",TRIM(E337))</f>
        <v/>
      </c>
      <c r="F337" s="7">
        <f>IF(F337="","Unclassified",TRIM(F337))</f>
        <v/>
      </c>
      <c r="G337" s="7" t="inlineStr">
        <is>
          <t>Facility maintenance</t>
        </is>
      </c>
      <c r="H337" s="7" t="inlineStr">
        <is>
          <t>Corporate</t>
        </is>
      </c>
      <c r="I337" s="7" t="inlineStr">
        <is>
          <t>North</t>
        </is>
      </c>
      <c r="J337" s="7" t="n">
        <v>41</v>
      </c>
      <c r="K337" s="7" t="n">
        <v>179.31</v>
      </c>
      <c r="L337" s="7" t="n">
        <v>7351.53</v>
      </c>
      <c r="M337" s="7" t="inlineStr">
        <is>
          <t>Overdue</t>
        </is>
      </c>
      <c r="N337" s="7">
        <f>IF(OR(E337="Apex Office Supplies",E337="Apex Office Supply Ltd"),"Apex Office Supplies",IF(OR(E337="Northstar IT Services",E337="North Star IT Svc"),"Northstar IT Services",IF(OR(E337="Metro Logistics",E337="Metro Logistics Pvt Ltd"),"Metro Logistics",E337)))</f>
        <v/>
      </c>
      <c r="O337" s="7">
        <f>IF(AND(ISNUMBER(L337),L337&gt;0),"Valid","Review")</f>
        <v/>
      </c>
      <c r="P337" s="7">
        <f>IF(OR(E337="",F337="",NOT(ISNUMBER(L337))),"Check Missing/Invalid Data","OK")</f>
        <v/>
      </c>
    </row>
    <row r="338">
      <c r="A338" s="7" t="inlineStr">
        <is>
          <t>PO-00457</t>
        </is>
      </c>
      <c r="B338" s="9" t="n">
        <v>45867</v>
      </c>
      <c r="C338" s="7" t="inlineStr">
        <is>
          <t>Invoice</t>
        </is>
      </c>
      <c r="D338" s="7" t="inlineStr">
        <is>
          <t>SUP002</t>
        </is>
      </c>
      <c r="E338" s="7">
        <f>IF(E338="","Unknown Supplier",TRIM(E338))</f>
        <v/>
      </c>
      <c r="F338" s="7">
        <f>IF(F338="","Unclassified",TRIM(F338))</f>
        <v/>
      </c>
      <c r="G338" s="7" t="inlineStr">
        <is>
          <t>Printer paper</t>
        </is>
      </c>
      <c r="H338" s="7" t="inlineStr">
        <is>
          <t>Sales</t>
        </is>
      </c>
      <c r="I338" s="7" t="inlineStr">
        <is>
          <t>South</t>
        </is>
      </c>
      <c r="J338" s="7" t="n">
        <v>16</v>
      </c>
      <c r="K338" s="7" t="n">
        <v>226.44</v>
      </c>
      <c r="L338" s="7" t="n">
        <v>3623.08</v>
      </c>
      <c r="M338" s="7" t="inlineStr">
        <is>
          <t>Overdue</t>
        </is>
      </c>
      <c r="N338" s="7">
        <f>IF(OR(E338="Apex Office Supplies",E338="Apex Office Supply Ltd"),"Apex Office Supplies",IF(OR(E338="Northstar IT Services",E338="North Star IT Svc"),"Northstar IT Services",IF(OR(E338="Metro Logistics",E338="Metro Logistics Pvt Ltd"),"Metro Logistics",E338)))</f>
        <v/>
      </c>
      <c r="O338" s="7">
        <f>IF(AND(ISNUMBER(L338),L338&gt;0),"Valid","Review")</f>
        <v/>
      </c>
      <c r="P338" s="7">
        <f>IF(OR(E338="",F338="",NOT(ISNUMBER(L338))),"Check Missing/Invalid Data","OK")</f>
        <v/>
      </c>
    </row>
    <row r="339">
      <c r="A339" s="7" t="inlineStr">
        <is>
          <t>PO-00049</t>
        </is>
      </c>
      <c r="B339" s="9" t="n">
        <v>45867</v>
      </c>
      <c r="C339" s="7" t="inlineStr">
        <is>
          <t>Purchase Order</t>
        </is>
      </c>
      <c r="D339" s="7" t="inlineStr">
        <is>
          <t>SUP006</t>
        </is>
      </c>
      <c r="E339" s="7">
        <f>IF(E339="","Unknown Supplier",TRIM(E339))</f>
        <v/>
      </c>
      <c r="F339" s="7">
        <f>IF(F339="","Unclassified",TRIM(F339))</f>
        <v/>
      </c>
      <c r="G339" s="7" t="inlineStr">
        <is>
          <t>Courier services</t>
        </is>
      </c>
      <c r="H339" s="7" t="inlineStr">
        <is>
          <t>Sales</t>
        </is>
      </c>
      <c r="I339" s="7" t="inlineStr">
        <is>
          <t>South</t>
        </is>
      </c>
      <c r="J339" s="7" t="n">
        <v>17</v>
      </c>
      <c r="K339" s="7" t="n">
        <v>540.63</v>
      </c>
      <c r="L339" s="7" t="n">
        <v>9190.74</v>
      </c>
      <c r="M339" s="7" t="inlineStr">
        <is>
          <t>Overdue</t>
        </is>
      </c>
      <c r="N339" s="7">
        <f>IF(OR(E339="Apex Office Supplies",E339="Apex Office Supply Ltd"),"Apex Office Supplies",IF(OR(E339="Northstar IT Services",E339="North Star IT Svc"),"Northstar IT Services",IF(OR(E339="Metro Logistics",E339="Metro Logistics Pvt Ltd"),"Metro Logistics",E339)))</f>
        <v/>
      </c>
      <c r="O339" s="7">
        <f>IF(AND(ISNUMBER(L339),L339&gt;0),"Valid","Review")</f>
        <v/>
      </c>
      <c r="P339" s="7">
        <f>IF(OR(E339="",F339="",NOT(ISNUMBER(L339))),"Check Missing/Invalid Data","OK")</f>
        <v/>
      </c>
    </row>
    <row r="340">
      <c r="A340" s="7" t="inlineStr">
        <is>
          <t>PO-00453</t>
        </is>
      </c>
      <c r="B340" s="9" t="n">
        <v>45869</v>
      </c>
      <c r="C340" s="7" t="inlineStr">
        <is>
          <t>Goods Receipt</t>
        </is>
      </c>
      <c r="D340" s="7" t="inlineStr">
        <is>
          <t>SUP001</t>
        </is>
      </c>
      <c r="E340" s="7">
        <f>IF(E340="","Unknown Supplier",TRIM(E340))</f>
        <v/>
      </c>
      <c r="F340" s="7">
        <f>IF(F340="","Unclassified",TRIM(F340))</f>
        <v/>
      </c>
      <c r="G340" s="7" t="inlineStr">
        <is>
          <t>Toner cartridges</t>
        </is>
      </c>
      <c r="H340" s="7" t="inlineStr">
        <is>
          <t>Technology</t>
        </is>
      </c>
      <c r="I340" s="7" t="inlineStr">
        <is>
          <t>South</t>
        </is>
      </c>
      <c r="J340" s="7" t="n">
        <v>12</v>
      </c>
      <c r="K340" s="7" t="n">
        <v>10.25</v>
      </c>
      <c r="L340" s="7" t="n">
        <v>123.03</v>
      </c>
      <c r="M340" s="7" t="inlineStr">
        <is>
          <t>Overdue</t>
        </is>
      </c>
      <c r="N340" s="7">
        <f>IF(OR(E340="Apex Office Supplies",E340="Apex Office Supply Ltd"),"Apex Office Supplies",IF(OR(E340="Northstar IT Services",E340="North Star IT Svc"),"Northstar IT Services",IF(OR(E340="Metro Logistics",E340="Metro Logistics Pvt Ltd"),"Metro Logistics",E340)))</f>
        <v/>
      </c>
      <c r="O340" s="7">
        <f>IF(AND(ISNUMBER(L340),L340&gt;0),"Valid","Review")</f>
        <v/>
      </c>
      <c r="P340" s="7">
        <f>IF(OR(E340="",F340="",NOT(ISNUMBER(L340))),"Check Missing/Invalid Data","OK")</f>
        <v/>
      </c>
    </row>
    <row r="341">
      <c r="A341" s="7" t="inlineStr">
        <is>
          <t>PO-00401</t>
        </is>
      </c>
      <c r="B341" s="9" t="n">
        <v>45870</v>
      </c>
      <c r="C341" s="7" t="inlineStr">
        <is>
          <t>Purchase Order</t>
        </is>
      </c>
      <c r="D341" s="7" t="inlineStr">
        <is>
          <t>SUP003</t>
        </is>
      </c>
      <c r="E341" s="7">
        <f>IF(E341="","Unknown Supplier",TRIM(E341))</f>
        <v/>
      </c>
      <c r="F341" s="7">
        <f>IF(F341="","Unclassified",TRIM(F341))</f>
        <v/>
      </c>
      <c r="G341" s="7" t="inlineStr">
        <is>
          <t>Software support</t>
        </is>
      </c>
      <c r="H341" s="7" t="inlineStr">
        <is>
          <t>Manufacturing</t>
        </is>
      </c>
      <c r="I341" s="7" t="inlineStr">
        <is>
          <t>North</t>
        </is>
      </c>
      <c r="J341" s="7" t="n">
        <v>98</v>
      </c>
      <c r="K341" s="7" t="n">
        <v>184.44</v>
      </c>
      <c r="L341" s="7" t="n">
        <v>18074.85</v>
      </c>
      <c r="M341" s="7" t="inlineStr">
        <is>
          <t>Pending</t>
        </is>
      </c>
      <c r="N341" s="7">
        <f>IF(OR(E341="Apex Office Supplies",E341="Apex Office Supply Ltd"),"Apex Office Supplies",IF(OR(E341="Northstar IT Services",E341="North Star IT Svc"),"Northstar IT Services",IF(OR(E341="Metro Logistics",E341="Metro Logistics Pvt Ltd"),"Metro Logistics",E341)))</f>
        <v/>
      </c>
      <c r="O341" s="7">
        <f>IF(AND(ISNUMBER(L341),L341&gt;0),"Valid","Review")</f>
        <v/>
      </c>
      <c r="P341" s="7">
        <f>IF(OR(E341="",F341="",NOT(ISNUMBER(L341))),"Check Missing/Invalid Data","OK")</f>
        <v/>
      </c>
    </row>
    <row r="342">
      <c r="A342" s="7" t="inlineStr">
        <is>
          <t>PO-00147</t>
        </is>
      </c>
      <c r="B342" s="9" t="n">
        <v>45872</v>
      </c>
      <c r="C342" s="7" t="inlineStr">
        <is>
          <t>Invoice</t>
        </is>
      </c>
      <c r="D342" s="7" t="inlineStr">
        <is>
          <t>SUP008</t>
        </is>
      </c>
      <c r="E342" s="7">
        <f>IF(E342="","Unknown Supplier",TRIM(E342))</f>
        <v/>
      </c>
      <c r="F342" s="7">
        <f>IF(F342="","Unclassified",TRIM(F342))</f>
        <v/>
      </c>
      <c r="G342" s="7" t="inlineStr">
        <is>
          <t>Labels</t>
        </is>
      </c>
      <c r="H342" s="7" t="inlineStr">
        <is>
          <t>Manufacturing</t>
        </is>
      </c>
      <c r="I342" s="7" t="inlineStr">
        <is>
          <t>North</t>
        </is>
      </c>
      <c r="J342" s="7" t="n">
        <v>93</v>
      </c>
      <c r="K342" s="7" t="n">
        <v>72.44</v>
      </c>
      <c r="L342" s="7" t="n">
        <v>6736.55</v>
      </c>
      <c r="M342" s="7" t="inlineStr">
        <is>
          <t>Paid</t>
        </is>
      </c>
      <c r="N342" s="7">
        <f>IF(OR(E342="Apex Office Supplies",E342="Apex Office Supply Ltd"),"Apex Office Supplies",IF(OR(E342="Northstar IT Services",E342="North Star IT Svc"),"Northstar IT Services",IF(OR(E342="Metro Logistics",E342="Metro Logistics Pvt Ltd"),"Metro Logistics",E342)))</f>
        <v/>
      </c>
      <c r="O342" s="7">
        <f>IF(AND(ISNUMBER(L342),L342&gt;0),"Valid","Review")</f>
        <v/>
      </c>
      <c r="P342" s="7">
        <f>IF(OR(E342="",F342="",NOT(ISNUMBER(L342))),"Check Missing/Invalid Data","OK")</f>
        <v/>
      </c>
    </row>
    <row r="343">
      <c r="A343" s="7" t="inlineStr">
        <is>
          <t>PO-00002</t>
        </is>
      </c>
      <c r="B343" s="9" t="n">
        <v>45874</v>
      </c>
      <c r="C343" s="7" t="inlineStr">
        <is>
          <t>Purchase Order</t>
        </is>
      </c>
      <c r="D343" s="7" t="inlineStr">
        <is>
          <t>SUP001</t>
        </is>
      </c>
      <c r="E343" s="7">
        <f>IF(E343="","Unknown Supplier",TRIM(E343))</f>
        <v/>
      </c>
      <c r="F343" s="7">
        <f>IF(F343="","Unclassified",TRIM(F343))</f>
        <v/>
      </c>
      <c r="G343" s="7" t="inlineStr">
        <is>
          <t>Security services</t>
        </is>
      </c>
      <c r="H343" s="7" t="inlineStr">
        <is>
          <t>Operations</t>
        </is>
      </c>
      <c r="I343" s="7" t="inlineStr">
        <is>
          <t>West</t>
        </is>
      </c>
      <c r="J343" s="7" t="n">
        <v>78</v>
      </c>
      <c r="K343" s="7" t="n">
        <v>54.87</v>
      </c>
      <c r="L343" s="7" t="n">
        <v>4279.98</v>
      </c>
      <c r="M343" s="7" t="inlineStr">
        <is>
          <t>Paid</t>
        </is>
      </c>
      <c r="N343" s="7">
        <f>IF(OR(E343="Apex Office Supplies",E343="Apex Office Supply Ltd"),"Apex Office Supplies",IF(OR(E343="Northstar IT Services",E343="North Star IT Svc"),"Northstar IT Services",IF(OR(E343="Metro Logistics",E343="Metro Logistics Pvt Ltd"),"Metro Logistics",E343)))</f>
        <v/>
      </c>
      <c r="O343" s="7">
        <f>IF(AND(ISNUMBER(L343),L343&gt;0),"Valid","Review")</f>
        <v/>
      </c>
      <c r="P343" s="7">
        <f>IF(OR(E343="",F343="",NOT(ISNUMBER(L343))),"Check Missing/Invalid Data","OK")</f>
        <v/>
      </c>
    </row>
    <row r="344">
      <c r="A344" s="7" t="inlineStr">
        <is>
          <t>PO-00306</t>
        </is>
      </c>
      <c r="B344" s="9" t="n">
        <v>45877</v>
      </c>
      <c r="C344" s="7" t="inlineStr">
        <is>
          <t>Goods Receipt</t>
        </is>
      </c>
      <c r="D344" s="7" t="inlineStr">
        <is>
          <t>SUP007</t>
        </is>
      </c>
      <c r="E344" s="7">
        <f>IF(E344="","Unknown Supplier",TRIM(E344))</f>
        <v/>
      </c>
      <c r="F344" s="7">
        <f>IF(F344="","Unclassified",TRIM(F344))</f>
        <v/>
      </c>
      <c r="G344" s="7" t="inlineStr">
        <is>
          <t>Cleaning services</t>
        </is>
      </c>
      <c r="H344" s="7" t="inlineStr">
        <is>
          <t>Manufacturing</t>
        </is>
      </c>
      <c r="I344" s="7" t="inlineStr">
        <is>
          <t>North</t>
        </is>
      </c>
      <c r="J344" s="7" t="n">
        <v>97</v>
      </c>
      <c r="K344" s="7" t="n">
        <v>39.17</v>
      </c>
      <c r="L344" s="7" t="n">
        <v>3799.43</v>
      </c>
      <c r="M344" s="7" t="inlineStr">
        <is>
          <t>Overdue</t>
        </is>
      </c>
      <c r="N344" s="7">
        <f>IF(OR(E344="Apex Office Supplies",E344="Apex Office Supply Ltd"),"Apex Office Supplies",IF(OR(E344="Northstar IT Services",E344="North Star IT Svc"),"Northstar IT Services",IF(OR(E344="Metro Logistics",E344="Metro Logistics Pvt Ltd"),"Metro Logistics",E344)))</f>
        <v/>
      </c>
      <c r="O344" s="7">
        <f>IF(AND(ISNUMBER(L344),L344&gt;0),"Valid","Review")</f>
        <v/>
      </c>
      <c r="P344" s="7">
        <f>IF(OR(E344="",F344="",NOT(ISNUMBER(L344))),"Check Missing/Invalid Data","OK")</f>
        <v/>
      </c>
    </row>
    <row r="345">
      <c r="A345" s="7" t="inlineStr">
        <is>
          <t>PO-00064</t>
        </is>
      </c>
      <c r="B345" s="9" t="n">
        <v>45877</v>
      </c>
      <c r="C345" s="7" t="inlineStr">
        <is>
          <t>Invoice</t>
        </is>
      </c>
      <c r="D345" s="7" t="inlineStr">
        <is>
          <t>SUP003</t>
        </is>
      </c>
      <c r="E345" s="7">
        <f>IF(E345="","Unknown Supplier",TRIM(E345))</f>
        <v/>
      </c>
      <c r="F345" s="7">
        <f>IF(F345="","Unclassified",TRIM(F345))</f>
        <v/>
      </c>
      <c r="G345" s="7" t="inlineStr">
        <is>
          <t>Cloud services</t>
        </is>
      </c>
      <c r="H345" s="7" t="inlineStr">
        <is>
          <t>Operations</t>
        </is>
      </c>
      <c r="I345" s="7" t="inlineStr">
        <is>
          <t>West</t>
        </is>
      </c>
      <c r="J345" s="7" t="n">
        <v>34</v>
      </c>
      <c r="K345" s="7" t="n">
        <v>168.47</v>
      </c>
      <c r="L345" s="7" t="n">
        <v>5727.84</v>
      </c>
      <c r="M345" s="7" t="inlineStr">
        <is>
          <t>Pending</t>
        </is>
      </c>
      <c r="N345" s="7">
        <f>IF(OR(E345="Apex Office Supplies",E345="Apex Office Supply Ltd"),"Apex Office Supplies",IF(OR(E345="Northstar IT Services",E345="North Star IT Svc"),"Northstar IT Services",IF(OR(E345="Metro Logistics",E345="Metro Logistics Pvt Ltd"),"Metro Logistics",E345)))</f>
        <v/>
      </c>
      <c r="O345" s="7">
        <f>IF(AND(ISNUMBER(L345),L345&gt;0),"Valid","Review")</f>
        <v/>
      </c>
      <c r="P345" s="7">
        <f>IF(OR(E345="",F345="",NOT(ISNUMBER(L345))),"Check Missing/Invalid Data","OK")</f>
        <v/>
      </c>
    </row>
    <row r="346">
      <c r="A346" s="7" t="inlineStr">
        <is>
          <t>PO-00024</t>
        </is>
      </c>
      <c r="B346" s="9" t="n">
        <v>45878</v>
      </c>
      <c r="C346" s="7" t="inlineStr">
        <is>
          <t>Purchase Order</t>
        </is>
      </c>
      <c r="D346" s="7" t="inlineStr">
        <is>
          <t>SUP006</t>
        </is>
      </c>
      <c r="E346" s="7">
        <f>IF(E346="","Unknown Supplier",TRIM(E346))</f>
        <v/>
      </c>
      <c r="F346" s="7">
        <f>IF(F346="","Unclassified",TRIM(F346))</f>
        <v/>
      </c>
      <c r="G346" s="7" t="inlineStr">
        <is>
          <t>Warehouse handling</t>
        </is>
      </c>
      <c r="H346" s="7" t="inlineStr">
        <is>
          <t>Corporate</t>
        </is>
      </c>
      <c r="I346" s="7" t="inlineStr">
        <is>
          <t>North</t>
        </is>
      </c>
      <c r="J346" s="7" t="n">
        <v>94</v>
      </c>
      <c r="K346" s="7" t="n">
        <v>153.19</v>
      </c>
      <c r="L346" s="7" t="n">
        <v>14399.68</v>
      </c>
      <c r="M346" s="7" t="inlineStr">
        <is>
          <t>Pending</t>
        </is>
      </c>
      <c r="N346" s="7">
        <f>IF(OR(E346="Apex Office Supplies",E346="Apex Office Supply Ltd"),"Apex Office Supplies",IF(OR(E346="Northstar IT Services",E346="North Star IT Svc"),"Northstar IT Services",IF(OR(E346="Metro Logistics",E346="Metro Logistics Pvt Ltd"),"Metro Logistics",E346)))</f>
        <v/>
      </c>
      <c r="O346" s="7">
        <f>IF(AND(ISNUMBER(L346),L346&gt;0),"Valid","Review")</f>
        <v/>
      </c>
      <c r="P346" s="7">
        <f>IF(OR(E346="",F346="",NOT(ISNUMBER(L346))),"Check Missing/Invalid Data","OK")</f>
        <v/>
      </c>
    </row>
    <row r="347">
      <c r="A347" s="7" t="inlineStr">
        <is>
          <t>PO-00189</t>
        </is>
      </c>
      <c r="B347" s="9" t="n">
        <v>45878</v>
      </c>
      <c r="C347" s="7" t="inlineStr">
        <is>
          <t>Invoice</t>
        </is>
      </c>
      <c r="D347" s="7" t="inlineStr">
        <is>
          <t>SUP010</t>
        </is>
      </c>
      <c r="E347" s="7">
        <f>IF(E347="","Unknown Supplier",TRIM(E347))</f>
        <v/>
      </c>
      <c r="F347" s="7">
        <f>IF(F347="","Unclassified",TRIM(F347))</f>
        <v/>
      </c>
      <c r="G347" s="7" t="inlineStr">
        <is>
          <t>Electricity</t>
        </is>
      </c>
      <c r="H347" s="7" t="inlineStr">
        <is>
          <t>Corporate</t>
        </is>
      </c>
      <c r="I347" s="7" t="inlineStr">
        <is>
          <t>East</t>
        </is>
      </c>
      <c r="J347" s="7" t="n">
        <v>38</v>
      </c>
      <c r="K347" s="7" t="n">
        <v>88.06999999999999</v>
      </c>
      <c r="L347" s="7" t="n">
        <v>3346.56</v>
      </c>
      <c r="M347" s="7" t="inlineStr">
        <is>
          <t>Overdue</t>
        </is>
      </c>
      <c r="N347" s="7">
        <f>IF(OR(E347="Apex Office Supplies",E347="Apex Office Supply Ltd"),"Apex Office Supplies",IF(OR(E347="Northstar IT Services",E347="North Star IT Svc"),"Northstar IT Services",IF(OR(E347="Metro Logistics",E347="Metro Logistics Pvt Ltd"),"Metro Logistics",E347)))</f>
        <v/>
      </c>
      <c r="O347" s="7">
        <f>IF(AND(ISNUMBER(L347),L347&gt;0),"Valid","Review")</f>
        <v/>
      </c>
      <c r="P347" s="7">
        <f>IF(OR(E347="",F347="",NOT(ISNUMBER(L347))),"Check Missing/Invalid Data","OK")</f>
        <v/>
      </c>
    </row>
    <row r="348">
      <c r="A348" s="7" t="inlineStr">
        <is>
          <t>PO-00072</t>
        </is>
      </c>
      <c r="B348" s="9" t="n">
        <v>45879</v>
      </c>
      <c r="C348" s="7" t="inlineStr">
        <is>
          <t>Purchase Order</t>
        </is>
      </c>
      <c r="D348" s="7" t="inlineStr">
        <is>
          <t>SUP006</t>
        </is>
      </c>
      <c r="E348" s="7">
        <f>IF(E348="","Unknown Supplier",TRIM(E348))</f>
        <v/>
      </c>
      <c r="F348" s="7">
        <f>IF(F348="","Unclassified",TRIM(F348))</f>
        <v/>
      </c>
      <c r="G348" s="7" t="inlineStr">
        <is>
          <t>Courier services</t>
        </is>
      </c>
      <c r="H348" s="7" t="inlineStr">
        <is>
          <t>Operations</t>
        </is>
      </c>
      <c r="I348" s="7" t="inlineStr">
        <is>
          <t>East</t>
        </is>
      </c>
      <c r="J348" s="7" t="n">
        <v>91</v>
      </c>
      <c r="K348" s="7" t="n">
        <v>279.05</v>
      </c>
      <c r="L348" s="7" t="n">
        <v>25393.39</v>
      </c>
      <c r="M348" s="7" t="inlineStr">
        <is>
          <t>Overdue</t>
        </is>
      </c>
      <c r="N348" s="7">
        <f>IF(OR(E348="Apex Office Supplies",E348="Apex Office Supply Ltd"),"Apex Office Supplies",IF(OR(E348="Northstar IT Services",E348="North Star IT Svc"),"Northstar IT Services",IF(OR(E348="Metro Logistics",E348="Metro Logistics Pvt Ltd"),"Metro Logistics",E348)))</f>
        <v/>
      </c>
      <c r="O348" s="7">
        <f>IF(AND(ISNUMBER(L348),L348&gt;0),"Valid","Review")</f>
        <v/>
      </c>
      <c r="P348" s="7">
        <f>IF(OR(E348="",F348="",NOT(ISNUMBER(L348))),"Check Missing/Invalid Data","OK")</f>
        <v/>
      </c>
    </row>
    <row r="349">
      <c r="A349" s="7" t="inlineStr">
        <is>
          <t>PO-00141</t>
        </is>
      </c>
      <c r="B349" s="9" t="n">
        <v>45879</v>
      </c>
      <c r="C349" s="7" t="inlineStr">
        <is>
          <t>Goods Receipt</t>
        </is>
      </c>
      <c r="D349" s="7" t="inlineStr">
        <is>
          <t>SUP002</t>
        </is>
      </c>
      <c r="E349" s="7">
        <f>IF(E349="","Unknown Supplier",TRIM(E349))</f>
        <v/>
      </c>
      <c r="F349" s="7">
        <f>IF(F349="","Unclassified",TRIM(F349))</f>
        <v/>
      </c>
      <c r="G349" s="7" t="inlineStr">
        <is>
          <t>Printer paper</t>
        </is>
      </c>
      <c r="H349" s="7" t="inlineStr">
        <is>
          <t>Manufacturing</t>
        </is>
      </c>
      <c r="I349" s="7" t="inlineStr">
        <is>
          <t>East</t>
        </is>
      </c>
      <c r="J349" s="7" t="n">
        <v>17</v>
      </c>
      <c r="K349" s="7" t="n">
        <v>399</v>
      </c>
      <c r="L349" s="7" t="n">
        <v>6782.93</v>
      </c>
      <c r="M349" s="7" t="inlineStr">
        <is>
          <t>Overdue</t>
        </is>
      </c>
      <c r="N349" s="7">
        <f>IF(OR(E349="Apex Office Supplies",E349="Apex Office Supply Ltd"),"Apex Office Supplies",IF(OR(E349="Northstar IT Services",E349="North Star IT Svc"),"Northstar IT Services",IF(OR(E349="Metro Logistics",E349="Metro Logistics Pvt Ltd"),"Metro Logistics",E349)))</f>
        <v/>
      </c>
      <c r="O349" s="7">
        <f>IF(AND(ISNUMBER(L349),L349&gt;0),"Valid","Review")</f>
        <v/>
      </c>
      <c r="P349" s="7">
        <f>IF(OR(E349="",F349="",NOT(ISNUMBER(L349))),"Check Missing/Invalid Data","OK")</f>
        <v/>
      </c>
    </row>
    <row r="350">
      <c r="A350" s="7" t="inlineStr">
        <is>
          <t>PO-00428</t>
        </is>
      </c>
      <c r="B350" s="9" t="n">
        <v>45880</v>
      </c>
      <c r="C350" s="7" t="inlineStr">
        <is>
          <t>Invoice</t>
        </is>
      </c>
      <c r="D350" s="7" t="inlineStr">
        <is>
          <t>SUP011</t>
        </is>
      </c>
      <c r="E350" s="7">
        <f>IF(E350="","Unknown Supplier",TRIM(E350))</f>
        <v/>
      </c>
      <c r="F350" s="7">
        <f>IF(F350="","Unclassified",TRIM(F350))</f>
        <v/>
      </c>
      <c r="G350" s="7" t="inlineStr">
        <is>
          <t>Digital campaign</t>
        </is>
      </c>
      <c r="H350" s="7" t="inlineStr">
        <is>
          <t>Corporate</t>
        </is>
      </c>
      <c r="I350" s="7" t="inlineStr">
        <is>
          <t>South</t>
        </is>
      </c>
      <c r="J350" s="7" t="n">
        <v>62</v>
      </c>
      <c r="K350" s="7" t="n">
        <v>125.66</v>
      </c>
      <c r="L350" s="7" t="n">
        <v>7790.98</v>
      </c>
      <c r="M350" s="7" t="inlineStr">
        <is>
          <t>Overdue</t>
        </is>
      </c>
      <c r="N350" s="7">
        <f>IF(OR(E350="Apex Office Supplies",E350="Apex Office Supply Ltd"),"Apex Office Supplies",IF(OR(E350="Northstar IT Services",E350="North Star IT Svc"),"Northstar IT Services",IF(OR(E350="Metro Logistics",E350="Metro Logistics Pvt Ltd"),"Metro Logistics",E350)))</f>
        <v/>
      </c>
      <c r="O350" s="7">
        <f>IF(AND(ISNUMBER(L350),L350&gt;0),"Valid","Review")</f>
        <v/>
      </c>
      <c r="P350" s="7">
        <f>IF(OR(E350="",F350="",NOT(ISNUMBER(L350))),"Check Missing/Invalid Data","OK")</f>
        <v/>
      </c>
    </row>
    <row r="351">
      <c r="A351" s="7" t="inlineStr">
        <is>
          <t>PO-00343</t>
        </is>
      </c>
      <c r="B351" s="9" t="n">
        <v>45881</v>
      </c>
      <c r="C351" s="7" t="inlineStr">
        <is>
          <t>Purchase Order</t>
        </is>
      </c>
      <c r="D351" s="7" t="inlineStr">
        <is>
          <t>SUP012</t>
        </is>
      </c>
      <c r="E351" s="7">
        <f>IF(E351="","Unknown Supplier",TRIM(E351))</f>
        <v/>
      </c>
      <c r="F351" s="7">
        <f>IF(F351="","Unclassified",TRIM(F351))</f>
        <v/>
      </c>
      <c r="G351" s="7" t="inlineStr">
        <is>
          <t>Equipment servicing</t>
        </is>
      </c>
      <c r="H351" s="7" t="inlineStr">
        <is>
          <t>Corporate</t>
        </is>
      </c>
      <c r="I351" s="7" t="inlineStr">
        <is>
          <t>West</t>
        </is>
      </c>
      <c r="J351" s="7" t="n">
        <v>32</v>
      </c>
      <c r="K351" s="7" t="n">
        <v>137.09</v>
      </c>
      <c r="L351" s="7" t="n">
        <v>4386.84</v>
      </c>
      <c r="M351" s="7" t="inlineStr">
        <is>
          <t>Overdue</t>
        </is>
      </c>
      <c r="N351" s="7">
        <f>IF(OR(E351="Apex Office Supplies",E351="Apex Office Supply Ltd"),"Apex Office Supplies",IF(OR(E351="Northstar IT Services",E351="North Star IT Svc"),"Northstar IT Services",IF(OR(E351="Metro Logistics",E351="Metro Logistics Pvt Ltd"),"Metro Logistics",E351)))</f>
        <v/>
      </c>
      <c r="O351" s="7">
        <f>IF(AND(ISNUMBER(L351),L351&gt;0),"Valid","Review")</f>
        <v/>
      </c>
      <c r="P351" s="7">
        <f>IF(OR(E351="",F351="",NOT(ISNUMBER(L351))),"Check Missing/Invalid Data","OK")</f>
        <v/>
      </c>
    </row>
    <row r="352">
      <c r="A352" s="7" t="inlineStr">
        <is>
          <t>PO-00155</t>
        </is>
      </c>
      <c r="B352" s="9" t="n">
        <v>45881</v>
      </c>
      <c r="C352" s="7" t="inlineStr">
        <is>
          <t>Purchase Order</t>
        </is>
      </c>
      <c r="D352" s="7" t="inlineStr">
        <is>
          <t>SUP002</t>
        </is>
      </c>
      <c r="E352" s="7">
        <f>IF(E352="","Unknown Supplier",TRIM(E352))</f>
        <v/>
      </c>
      <c r="F352" s="7">
        <f>IF(F352="","Unclassified",TRIM(F352))</f>
        <v/>
      </c>
      <c r="G352" s="7" t="inlineStr">
        <is>
          <t>Pens and stationery</t>
        </is>
      </c>
      <c r="H352" s="7" t="inlineStr">
        <is>
          <t>Technology</t>
        </is>
      </c>
      <c r="I352" s="7" t="inlineStr">
        <is>
          <t>East</t>
        </is>
      </c>
      <c r="J352" s="7" t="n">
        <v>68</v>
      </c>
      <c r="K352" s="7" t="n">
        <v>156.6</v>
      </c>
      <c r="L352" s="7" t="n">
        <v>10649.02</v>
      </c>
      <c r="M352" s="7" t="inlineStr">
        <is>
          <t>Paid</t>
        </is>
      </c>
      <c r="N352" s="7">
        <f>IF(OR(E352="Apex Office Supplies",E352="Apex Office Supply Ltd"),"Apex Office Supplies",IF(OR(E352="Northstar IT Services",E352="North Star IT Svc"),"Northstar IT Services",IF(OR(E352="Metro Logistics",E352="Metro Logistics Pvt Ltd"),"Metro Logistics",E352)))</f>
        <v/>
      </c>
      <c r="O352" s="7">
        <f>IF(AND(ISNUMBER(L352),L352&gt;0),"Valid","Review")</f>
        <v/>
      </c>
      <c r="P352" s="7">
        <f>IF(OR(E352="",F352="",NOT(ISNUMBER(L352))),"Check Missing/Invalid Data","OK")</f>
        <v/>
      </c>
    </row>
    <row r="353">
      <c r="A353" s="7" t="inlineStr">
        <is>
          <t>PO-00099</t>
        </is>
      </c>
      <c r="B353" s="9" t="n">
        <v>45882</v>
      </c>
      <c r="C353" s="7" t="inlineStr">
        <is>
          <t>Goods Receipt</t>
        </is>
      </c>
      <c r="D353" s="7" t="inlineStr">
        <is>
          <t>SUP012</t>
        </is>
      </c>
      <c r="E353" s="7">
        <f>IF(E353="","Unknown Supplier",TRIM(E353))</f>
        <v/>
      </c>
      <c r="F353" s="7">
        <f>IF(F353="","Unclassified",TRIM(F353))</f>
        <v/>
      </c>
      <c r="G353" s="7" t="inlineStr">
        <is>
          <t>Repair parts</t>
        </is>
      </c>
      <c r="H353" s="7" t="inlineStr">
        <is>
          <t>Operations</t>
        </is>
      </c>
      <c r="I353" s="7" t="inlineStr">
        <is>
          <t>East</t>
        </is>
      </c>
      <c r="J353" s="7" t="n">
        <v>81</v>
      </c>
      <c r="K353" s="7" t="n">
        <v>7.85</v>
      </c>
      <c r="L353" s="7" t="n">
        <v>636.1900000000001</v>
      </c>
      <c r="M353" s="7" t="inlineStr">
        <is>
          <t>Overdue</t>
        </is>
      </c>
      <c r="N353" s="7">
        <f>IF(OR(E353="Apex Office Supplies",E353="Apex Office Supply Ltd"),"Apex Office Supplies",IF(OR(E353="Northstar IT Services",E353="North Star IT Svc"),"Northstar IT Services",IF(OR(E353="Metro Logistics",E353="Metro Logistics Pvt Ltd"),"Metro Logistics",E353)))</f>
        <v/>
      </c>
      <c r="O353" s="7">
        <f>IF(AND(ISNUMBER(L353),L353&gt;0),"Valid","Review")</f>
        <v/>
      </c>
      <c r="P353" s="7">
        <f>IF(OR(E353="",F353="",NOT(ISNUMBER(L353))),"Check Missing/Invalid Data","OK")</f>
        <v/>
      </c>
    </row>
    <row r="354">
      <c r="A354" s="7" t="inlineStr">
        <is>
          <t>PO-00171</t>
        </is>
      </c>
      <c r="B354" s="9" t="n">
        <v>45882</v>
      </c>
      <c r="C354" s="7" t="inlineStr">
        <is>
          <t>Invoice</t>
        </is>
      </c>
      <c r="D354" s="7" t="inlineStr">
        <is>
          <t>SUP001</t>
        </is>
      </c>
      <c r="E354" s="7">
        <f>IF(E354="","Unknown Supplier",TRIM(E354))</f>
        <v/>
      </c>
      <c r="F354" s="7">
        <f>IF(F354="","Unclassified",TRIM(F354))</f>
        <v/>
      </c>
      <c r="G354" s="7" t="inlineStr">
        <is>
          <t>Toner cartridges</t>
        </is>
      </c>
      <c r="H354" s="7" t="inlineStr">
        <is>
          <t>Technology</t>
        </is>
      </c>
      <c r="I354" s="7" t="inlineStr">
        <is>
          <t>West</t>
        </is>
      </c>
      <c r="J354" s="7" t="n">
        <v>31</v>
      </c>
      <c r="K354" s="7" t="n">
        <v>393.98</v>
      </c>
      <c r="L354" s="7" t="n">
        <v>12213.37</v>
      </c>
      <c r="M354" s="7" t="inlineStr">
        <is>
          <t>Paid</t>
        </is>
      </c>
      <c r="N354" s="7">
        <f>IF(OR(E354="Apex Office Supplies",E354="Apex Office Supply Ltd"),"Apex Office Supplies",IF(OR(E354="Northstar IT Services",E354="North Star IT Svc"),"Northstar IT Services",IF(OR(E354="Metro Logistics",E354="Metro Logistics Pvt Ltd"),"Metro Logistics",E354)))</f>
        <v/>
      </c>
      <c r="O354" s="7">
        <f>IF(AND(ISNUMBER(L354),L354&gt;0),"Valid","Review")</f>
        <v/>
      </c>
      <c r="P354" s="7">
        <f>IF(OR(E354="",F354="",NOT(ISNUMBER(L354))),"Check Missing/Invalid Data","OK")</f>
        <v/>
      </c>
    </row>
    <row r="355">
      <c r="A355" s="7" t="inlineStr">
        <is>
          <t>PO-00385</t>
        </is>
      </c>
      <c r="B355" s="9" t="n">
        <v>45882</v>
      </c>
      <c r="C355" s="7" t="inlineStr">
        <is>
          <t>Invoice</t>
        </is>
      </c>
      <c r="D355" s="7" t="inlineStr">
        <is>
          <t>SUP012</t>
        </is>
      </c>
      <c r="E355" s="7">
        <f>IF(E355="","Unknown Supplier",TRIM(E355))</f>
        <v/>
      </c>
      <c r="F355" s="7">
        <f>IF(F355="","Unclassified",TRIM(F355))</f>
        <v/>
      </c>
      <c r="G355" s="7" t="inlineStr">
        <is>
          <t>Equipment servicing</t>
        </is>
      </c>
      <c r="H355" s="7" t="inlineStr">
        <is>
          <t>Technology</t>
        </is>
      </c>
      <c r="I355" s="7" t="inlineStr">
        <is>
          <t>West</t>
        </is>
      </c>
      <c r="J355" s="7" t="n">
        <v>53</v>
      </c>
      <c r="K355" s="7" t="n">
        <v>58.38</v>
      </c>
      <c r="L355" s="7" t="n">
        <v>3094.13</v>
      </c>
      <c r="M355" s="7" t="inlineStr">
        <is>
          <t>Paid</t>
        </is>
      </c>
      <c r="N355" s="7">
        <f>IF(OR(E355="Apex Office Supplies",E355="Apex Office Supply Ltd"),"Apex Office Supplies",IF(OR(E355="Northstar IT Services",E355="North Star IT Svc"),"Northstar IT Services",IF(OR(E355="Metro Logistics",E355="Metro Logistics Pvt Ltd"),"Metro Logistics",E355)))</f>
        <v/>
      </c>
      <c r="O355" s="7">
        <f>IF(AND(ISNUMBER(L355),L355&gt;0),"Valid","Review")</f>
        <v/>
      </c>
      <c r="P355" s="7">
        <f>IF(OR(E355="",F355="",NOT(ISNUMBER(L355))),"Check Missing/Invalid Data","OK")</f>
        <v/>
      </c>
    </row>
    <row r="356">
      <c r="A356" s="7" t="inlineStr">
        <is>
          <t>PO-00035</t>
        </is>
      </c>
      <c r="B356" s="9" t="n">
        <v>45882</v>
      </c>
      <c r="C356" s="7" t="inlineStr">
        <is>
          <t>Goods Receipt</t>
        </is>
      </c>
      <c r="D356" s="7" t="inlineStr">
        <is>
          <t>SUP009</t>
        </is>
      </c>
      <c r="E356" s="7">
        <f>IF(E356="","Unknown Supplier",TRIM(E356))</f>
        <v/>
      </c>
      <c r="F356" s="7">
        <f>IF(F356="","Unclassified",TRIM(F356))</f>
        <v/>
      </c>
      <c r="G356" s="7" t="inlineStr">
        <is>
          <t>Audit support</t>
        </is>
      </c>
      <c r="H356" s="7" t="inlineStr">
        <is>
          <t>Corporate</t>
        </is>
      </c>
      <c r="I356" s="7" t="inlineStr">
        <is>
          <t>East</t>
        </is>
      </c>
      <c r="J356" s="7" t="n">
        <v>104</v>
      </c>
      <c r="K356" s="7" t="n">
        <v>180.74</v>
      </c>
      <c r="L356" s="7" t="n">
        <v>18796.56</v>
      </c>
      <c r="M356" s="7" t="inlineStr">
        <is>
          <t>Overdue</t>
        </is>
      </c>
      <c r="N356" s="7">
        <f>IF(OR(E356="Apex Office Supplies",E356="Apex Office Supply Ltd"),"Apex Office Supplies",IF(OR(E356="Northstar IT Services",E356="North Star IT Svc"),"Northstar IT Services",IF(OR(E356="Metro Logistics",E356="Metro Logistics Pvt Ltd"),"Metro Logistics",E356)))</f>
        <v/>
      </c>
      <c r="O356" s="7">
        <f>IF(AND(ISNUMBER(L356),L356&gt;0),"Valid","Review")</f>
        <v/>
      </c>
      <c r="P356" s="7">
        <f>IF(OR(E356="",F356="",NOT(ISNUMBER(L356))),"Check Missing/Invalid Data","OK")</f>
        <v/>
      </c>
    </row>
    <row r="357">
      <c r="A357" s="7" t="inlineStr">
        <is>
          <t>PO-00443</t>
        </is>
      </c>
      <c r="B357" s="9" t="n">
        <v>45882</v>
      </c>
      <c r="C357" s="7" t="inlineStr">
        <is>
          <t>Invoice</t>
        </is>
      </c>
      <c r="D357" s="7" t="inlineStr">
        <is>
          <t>SUP010</t>
        </is>
      </c>
      <c r="E357" s="7">
        <f>IF(E357="","Unknown Supplier",TRIM(E357))</f>
        <v/>
      </c>
      <c r="F357" s="7">
        <f>IF(F357="","Unclassified",TRIM(F357))</f>
        <v/>
      </c>
      <c r="G357" s="7" t="inlineStr">
        <is>
          <t>Electricity</t>
        </is>
      </c>
      <c r="H357" s="7" t="inlineStr">
        <is>
          <t>Corporate</t>
        </is>
      </c>
      <c r="I357" s="7" t="inlineStr">
        <is>
          <t>West</t>
        </is>
      </c>
      <c r="J357" s="7" t="n">
        <v>48</v>
      </c>
      <c r="K357" s="7" t="n">
        <v>275.57</v>
      </c>
      <c r="L357" s="7" t="n">
        <v>13227.25</v>
      </c>
      <c r="M357" s="7" t="inlineStr">
        <is>
          <t>Pending</t>
        </is>
      </c>
      <c r="N357" s="7">
        <f>IF(OR(E357="Apex Office Supplies",E357="Apex Office Supply Ltd"),"Apex Office Supplies",IF(OR(E357="Northstar IT Services",E357="North Star IT Svc"),"Northstar IT Services",IF(OR(E357="Metro Logistics",E357="Metro Logistics Pvt Ltd"),"Metro Logistics",E357)))</f>
        <v/>
      </c>
      <c r="O357" s="7">
        <f>IF(AND(ISNUMBER(L357),L357&gt;0),"Valid","Review")</f>
        <v/>
      </c>
      <c r="P357" s="7">
        <f>IF(OR(E357="",F357="",NOT(ISNUMBER(L357))),"Check Missing/Invalid Data","OK")</f>
        <v/>
      </c>
    </row>
    <row r="358">
      <c r="A358" s="7" t="inlineStr">
        <is>
          <t>PO-00107</t>
        </is>
      </c>
      <c r="B358" s="9" t="n">
        <v>45883</v>
      </c>
      <c r="C358" s="7" t="inlineStr">
        <is>
          <t>Purchase Order</t>
        </is>
      </c>
      <c r="D358" s="7" t="inlineStr">
        <is>
          <t>SUP002</t>
        </is>
      </c>
      <c r="E358" s="7">
        <f>IF(E358="","Unknown Supplier",TRIM(E358))</f>
        <v/>
      </c>
      <c r="F358" s="7">
        <f>IF(F358="","Unclassified",TRIM(F358))</f>
        <v/>
      </c>
      <c r="G358" s="7" t="inlineStr">
        <is>
          <t>Pens and stationery</t>
        </is>
      </c>
      <c r="H358" s="7" t="inlineStr">
        <is>
          <t>Operations</t>
        </is>
      </c>
      <c r="I358" s="7" t="inlineStr">
        <is>
          <t>North</t>
        </is>
      </c>
      <c r="J358" s="7" t="n">
        <v>93</v>
      </c>
      <c r="K358" s="7" t="n">
        <v>89.14</v>
      </c>
      <c r="L358" s="7" t="n">
        <v>8289.870000000001</v>
      </c>
      <c r="M358" s="7" t="inlineStr">
        <is>
          <t>Pending</t>
        </is>
      </c>
      <c r="N358" s="7">
        <f>IF(OR(E358="Apex Office Supplies",E358="Apex Office Supply Ltd"),"Apex Office Supplies",IF(OR(E358="Northstar IT Services",E358="North Star IT Svc"),"Northstar IT Services",IF(OR(E358="Metro Logistics",E358="Metro Logistics Pvt Ltd"),"Metro Logistics",E358)))</f>
        <v/>
      </c>
      <c r="O358" s="7">
        <f>IF(AND(ISNUMBER(L358),L358&gt;0),"Valid","Review")</f>
        <v/>
      </c>
      <c r="P358" s="7">
        <f>IF(OR(E358="",F358="",NOT(ISNUMBER(L358))),"Check Missing/Invalid Data","OK")</f>
        <v/>
      </c>
    </row>
    <row r="359">
      <c r="A359" s="7" t="inlineStr">
        <is>
          <t>PO-00039</t>
        </is>
      </c>
      <c r="B359" s="9" t="n">
        <v>45884</v>
      </c>
      <c r="C359" s="7" t="inlineStr">
        <is>
          <t>Purchase Order</t>
        </is>
      </c>
      <c r="D359" s="7" t="inlineStr">
        <is>
          <t>SUP009</t>
        </is>
      </c>
      <c r="E359" s="7">
        <f>IF(E359="","Unknown Supplier",TRIM(E359))</f>
        <v/>
      </c>
      <c r="F359" s="7">
        <f>IF(F359="","Unclassified",TRIM(F359))</f>
        <v/>
      </c>
      <c r="G359" s="7" t="inlineStr">
        <is>
          <t>Audit support</t>
        </is>
      </c>
      <c r="H359" s="7" t="inlineStr">
        <is>
          <t>Operations</t>
        </is>
      </c>
      <c r="I359" s="7" t="inlineStr">
        <is>
          <t>North</t>
        </is>
      </c>
      <c r="J359" s="7" t="n">
        <v>15</v>
      </c>
      <c r="K359" s="7" t="n">
        <v>1150.22</v>
      </c>
      <c r="L359" s="7" t="n">
        <v>17253.33</v>
      </c>
      <c r="M359" s="7" t="inlineStr">
        <is>
          <t>Pending</t>
        </is>
      </c>
      <c r="N359" s="7">
        <f>IF(OR(E359="Apex Office Supplies",E359="Apex Office Supply Ltd"),"Apex Office Supplies",IF(OR(E359="Northstar IT Services",E359="North Star IT Svc"),"Northstar IT Services",IF(OR(E359="Metro Logistics",E359="Metro Logistics Pvt Ltd"),"Metro Logistics",E359)))</f>
        <v/>
      </c>
      <c r="O359" s="7">
        <f>IF(AND(ISNUMBER(L359),L359&gt;0),"Valid","Review")</f>
        <v/>
      </c>
      <c r="P359" s="7">
        <f>IF(OR(E359="",F359="",NOT(ISNUMBER(L359))),"Check Missing/Invalid Data","OK")</f>
        <v/>
      </c>
    </row>
    <row r="360">
      <c r="A360" s="7" t="inlineStr">
        <is>
          <t>PO-00149</t>
        </is>
      </c>
      <c r="B360" s="9" t="n">
        <v>45884</v>
      </c>
      <c r="C360" s="7" t="inlineStr">
        <is>
          <t>Invoice</t>
        </is>
      </c>
      <c r="D360" s="7" t="inlineStr">
        <is>
          <t>SUP007</t>
        </is>
      </c>
      <c r="E360" s="7">
        <f>IF(E360="","Unknown Supplier",TRIM(E360))</f>
        <v/>
      </c>
      <c r="F360" s="7">
        <f>IF(F360="","Unclassified",TRIM(F360))</f>
        <v/>
      </c>
      <c r="G360" s="7" t="inlineStr">
        <is>
          <t>Facility maintenance</t>
        </is>
      </c>
      <c r="H360" s="7" t="inlineStr">
        <is>
          <t>Corporate</t>
        </is>
      </c>
      <c r="I360" s="7" t="inlineStr">
        <is>
          <t>East</t>
        </is>
      </c>
      <c r="J360" s="7" t="n">
        <v>15</v>
      </c>
      <c r="K360" s="7" t="n">
        <v>907.89</v>
      </c>
      <c r="L360" s="7" t="n">
        <v>13618.38</v>
      </c>
      <c r="M360" s="7" t="inlineStr">
        <is>
          <t>Overdue</t>
        </is>
      </c>
      <c r="N360" s="7">
        <f>IF(OR(E360="Apex Office Supplies",E360="Apex Office Supply Ltd"),"Apex Office Supplies",IF(OR(E360="Northstar IT Services",E360="North Star IT Svc"),"Northstar IT Services",IF(OR(E360="Metro Logistics",E360="Metro Logistics Pvt Ltd"),"Metro Logistics",E360)))</f>
        <v/>
      </c>
      <c r="O360" s="7">
        <f>IF(AND(ISNUMBER(L360),L360&gt;0),"Valid","Review")</f>
        <v/>
      </c>
      <c r="P360" s="7">
        <f>IF(OR(E360="",F360="",NOT(ISNUMBER(L360))),"Check Missing/Invalid Data","OK")</f>
        <v/>
      </c>
    </row>
    <row r="361">
      <c r="A361" s="7" t="inlineStr">
        <is>
          <t>PO-00051</t>
        </is>
      </c>
      <c r="B361" s="9" t="n">
        <v>45884</v>
      </c>
      <c r="C361" s="7" t="inlineStr">
        <is>
          <t>Goods Receipt</t>
        </is>
      </c>
      <c r="D361" s="7" t="inlineStr">
        <is>
          <t>SUP008</t>
        </is>
      </c>
      <c r="E361" s="7">
        <f>IF(E361="","Unknown Supplier",TRIM(E361))</f>
        <v/>
      </c>
      <c r="F361" s="7">
        <f>IF(F361="","Unclassified",TRIM(F361))</f>
        <v/>
      </c>
      <c r="G361" s="7" t="inlineStr">
        <is>
          <t>Corrugated boxes</t>
        </is>
      </c>
      <c r="H361" s="7" t="inlineStr">
        <is>
          <t>Corporate</t>
        </is>
      </c>
      <c r="I361" s="7" t="inlineStr">
        <is>
          <t>East</t>
        </is>
      </c>
      <c r="J361" s="7" t="n">
        <v>102</v>
      </c>
      <c r="K361" s="7" t="n">
        <v>90.78</v>
      </c>
      <c r="L361" s="7" t="n">
        <v>9259.790000000001</v>
      </c>
      <c r="M361" s="7" t="inlineStr">
        <is>
          <t>Overdue</t>
        </is>
      </c>
      <c r="N361" s="7">
        <f>IF(OR(E361="Apex Office Supplies",E361="Apex Office Supply Ltd"),"Apex Office Supplies",IF(OR(E361="Northstar IT Services",E361="North Star IT Svc"),"Northstar IT Services",IF(OR(E361="Metro Logistics",E361="Metro Logistics Pvt Ltd"),"Metro Logistics",E361)))</f>
        <v/>
      </c>
      <c r="O361" s="7">
        <f>IF(AND(ISNUMBER(L361),L361&gt;0),"Valid","Review")</f>
        <v/>
      </c>
      <c r="P361" s="7">
        <f>IF(OR(E361="",F361="",NOT(ISNUMBER(L361))),"Check Missing/Invalid Data","OK")</f>
        <v/>
      </c>
    </row>
    <row r="362">
      <c r="A362" s="7" t="inlineStr">
        <is>
          <t>PO-00129</t>
        </is>
      </c>
      <c r="B362" s="9" t="n">
        <v>45885</v>
      </c>
      <c r="C362" s="7" t="inlineStr">
        <is>
          <t>Invoice</t>
        </is>
      </c>
      <c r="D362" s="7" t="inlineStr">
        <is>
          <t>SUP004</t>
        </is>
      </c>
      <c r="E362" s="7">
        <f>IF(E362="","Unknown Supplier",TRIM(E362))</f>
        <v/>
      </c>
      <c r="F362" s="7">
        <f>IF(F362="","Unclassified",TRIM(F362))</f>
        <v/>
      </c>
      <c r="G362" s="7" t="inlineStr">
        <is>
          <t>IT consulting</t>
        </is>
      </c>
      <c r="H362" s="7" t="inlineStr">
        <is>
          <t>Technology</t>
        </is>
      </c>
      <c r="I362" s="7" t="inlineStr">
        <is>
          <t>North</t>
        </is>
      </c>
      <c r="J362" s="7" t="n">
        <v>88</v>
      </c>
      <c r="K362" s="7" t="n">
        <v>36.64</v>
      </c>
      <c r="L362" s="7" t="n">
        <v>3223.98</v>
      </c>
      <c r="M362" s="7" t="inlineStr">
        <is>
          <t>Pending</t>
        </is>
      </c>
      <c r="N362" s="7">
        <f>IF(OR(E362="Apex Office Supplies",E362="Apex Office Supply Ltd"),"Apex Office Supplies",IF(OR(E362="Northstar IT Services",E362="North Star IT Svc"),"Northstar IT Services",IF(OR(E362="Metro Logistics",E362="Metro Logistics Pvt Ltd"),"Metro Logistics",E362)))</f>
        <v/>
      </c>
      <c r="O362" s="7">
        <f>IF(AND(ISNUMBER(L362),L362&gt;0),"Valid","Review")</f>
        <v/>
      </c>
      <c r="P362" s="7">
        <f>IF(OR(E362="",F362="",NOT(ISNUMBER(L362))),"Check Missing/Invalid Data","OK")</f>
        <v/>
      </c>
    </row>
    <row r="363">
      <c r="A363" s="7" t="inlineStr">
        <is>
          <t>PO-00553</t>
        </is>
      </c>
      <c r="B363" s="9" t="n">
        <v>45885</v>
      </c>
      <c r="C363" s="7" t="inlineStr">
        <is>
          <t>Invoice</t>
        </is>
      </c>
      <c r="D363" s="7" t="inlineStr">
        <is>
          <t>SUP006</t>
        </is>
      </c>
      <c r="E363" s="7">
        <f>IF(E363="","Unknown Supplier",TRIM(E363))</f>
        <v/>
      </c>
      <c r="F363" s="7">
        <f>IF(F363="","Unclassified",TRIM(F363))</f>
        <v/>
      </c>
      <c r="G363" s="7" t="inlineStr">
        <is>
          <t>Freight services</t>
        </is>
      </c>
      <c r="H363" s="7" t="inlineStr">
        <is>
          <t>Operations</t>
        </is>
      </c>
      <c r="I363" s="7" t="inlineStr">
        <is>
          <t>North</t>
        </is>
      </c>
      <c r="J363" s="7" t="n">
        <v>58</v>
      </c>
      <c r="K363" s="7" t="n">
        <v>276.52</v>
      </c>
      <c r="L363" s="7" t="n">
        <v>16038.36</v>
      </c>
      <c r="M363" s="7" t="inlineStr">
        <is>
          <t>Paid</t>
        </is>
      </c>
      <c r="N363" s="7">
        <f>IF(OR(E363="Apex Office Supplies",E363="Apex Office Supply Ltd"),"Apex Office Supplies",IF(OR(E363="Northstar IT Services",E363="North Star IT Svc"),"Northstar IT Services",IF(OR(E363="Metro Logistics",E363="Metro Logistics Pvt Ltd"),"Metro Logistics",E363)))</f>
        <v/>
      </c>
      <c r="O363" s="7">
        <f>IF(AND(ISNUMBER(L363),L363&gt;0),"Valid","Review")</f>
        <v/>
      </c>
      <c r="P363" s="7">
        <f>IF(OR(E363="",F363="",NOT(ISNUMBER(L363))),"Check Missing/Invalid Data","OK")</f>
        <v/>
      </c>
    </row>
    <row r="364">
      <c r="A364" s="7" t="inlineStr">
        <is>
          <t>PO-00196</t>
        </is>
      </c>
      <c r="B364" s="9" t="n">
        <v>45886</v>
      </c>
      <c r="C364" s="7" t="inlineStr">
        <is>
          <t>Invoice</t>
        </is>
      </c>
      <c r="D364" s="7" t="inlineStr">
        <is>
          <t>SUP004</t>
        </is>
      </c>
      <c r="E364" s="7">
        <f>IF(E364="","Unknown Supplier",TRIM(E364))</f>
        <v/>
      </c>
      <c r="F364" s="7">
        <f>IF(F364="","Unclassified",TRIM(F364))</f>
        <v/>
      </c>
      <c r="G364" s="7" t="inlineStr">
        <is>
          <t>Software support</t>
        </is>
      </c>
      <c r="H364" s="7" t="inlineStr">
        <is>
          <t>Corporate</t>
        </is>
      </c>
      <c r="I364" s="7" t="inlineStr">
        <is>
          <t>South</t>
        </is>
      </c>
      <c r="J364" s="7" t="n">
        <v>118</v>
      </c>
      <c r="K364" s="7" t="n">
        <v>75.29000000000001</v>
      </c>
      <c r="L364" s="7" t="n">
        <v>8884.389999999999</v>
      </c>
      <c r="M364" s="7" t="inlineStr">
        <is>
          <t>Paid</t>
        </is>
      </c>
      <c r="N364" s="7">
        <f>IF(OR(E364="Apex Office Supplies",E364="Apex Office Supply Ltd"),"Apex Office Supplies",IF(OR(E364="Northstar IT Services",E364="North Star IT Svc"),"Northstar IT Services",IF(OR(E364="Metro Logistics",E364="Metro Logistics Pvt Ltd"),"Metro Logistics",E364)))</f>
        <v/>
      </c>
      <c r="O364" s="7">
        <f>IF(AND(ISNUMBER(L364),L364&gt;0),"Valid","Review")</f>
        <v/>
      </c>
      <c r="P364" s="7">
        <f>IF(OR(E364="",F364="",NOT(ISNUMBER(L364))),"Check Missing/Invalid Data","OK")</f>
        <v/>
      </c>
    </row>
    <row r="365">
      <c r="A365" s="7" t="inlineStr">
        <is>
          <t>PO-00057</t>
        </is>
      </c>
      <c r="B365" s="9" t="n">
        <v>45886</v>
      </c>
      <c r="C365" s="7" t="inlineStr">
        <is>
          <t>Purchase Order</t>
        </is>
      </c>
      <c r="D365" s="7" t="inlineStr">
        <is>
          <t>SUP003</t>
        </is>
      </c>
      <c r="E365" s="7">
        <f>IF(E365="","Unknown Supplier",TRIM(E365))</f>
        <v/>
      </c>
      <c r="F365" s="7">
        <f>IF(F365="","Unclassified",TRIM(F365))</f>
        <v/>
      </c>
      <c r="G365" s="7" t="inlineStr">
        <is>
          <t>IT consulting</t>
        </is>
      </c>
      <c r="H365" s="7" t="inlineStr">
        <is>
          <t>Technology</t>
        </is>
      </c>
      <c r="I365" s="7" t="inlineStr">
        <is>
          <t>West</t>
        </is>
      </c>
      <c r="J365" s="7" t="n">
        <v>34</v>
      </c>
      <c r="K365" s="7" t="n">
        <v>430.36</v>
      </c>
      <c r="L365" s="7" t="n">
        <v>14632.2</v>
      </c>
      <c r="M365" s="7" t="inlineStr">
        <is>
          <t>Overdue</t>
        </is>
      </c>
      <c r="N365" s="7">
        <f>IF(OR(E365="Apex Office Supplies",E365="Apex Office Supply Ltd"),"Apex Office Supplies",IF(OR(E365="Northstar IT Services",E365="North Star IT Svc"),"Northstar IT Services",IF(OR(E365="Metro Logistics",E365="Metro Logistics Pvt Ltd"),"Metro Logistics",E365)))</f>
        <v/>
      </c>
      <c r="O365" s="7">
        <f>IF(AND(ISNUMBER(L365),L365&gt;0),"Valid","Review")</f>
        <v/>
      </c>
      <c r="P365" s="7">
        <f>IF(OR(E365="",F365="",NOT(ISNUMBER(L365))),"Check Missing/Invalid Data","OK")</f>
        <v/>
      </c>
    </row>
    <row r="366">
      <c r="A366" s="7" t="inlineStr">
        <is>
          <t>PO-00003</t>
        </is>
      </c>
      <c r="B366" s="9" t="n">
        <v>45887</v>
      </c>
      <c r="C366" s="7" t="inlineStr">
        <is>
          <t>Purchase Order</t>
        </is>
      </c>
      <c r="D366" s="7" t="inlineStr">
        <is>
          <t>SUP010</t>
        </is>
      </c>
      <c r="E366" s="7">
        <f>IF(E366="","Unknown Supplier",TRIM(E366))</f>
        <v/>
      </c>
      <c r="F366" s="7">
        <f>IF(F366="","Unclassified",TRIM(F366))</f>
        <v/>
      </c>
      <c r="G366" s="7" t="inlineStr">
        <is>
          <t>Natural gas</t>
        </is>
      </c>
      <c r="H366" s="7" t="inlineStr">
        <is>
          <t>Sales</t>
        </is>
      </c>
      <c r="I366" s="7" t="inlineStr">
        <is>
          <t>East</t>
        </is>
      </c>
      <c r="J366" s="7" t="n">
        <v>98</v>
      </c>
      <c r="K366" s="7" t="n">
        <v>159.83</v>
      </c>
      <c r="L366" s="7" t="n">
        <v>15663.09</v>
      </c>
      <c r="M366" s="7" t="inlineStr">
        <is>
          <t>Pending</t>
        </is>
      </c>
      <c r="N366" s="7">
        <f>IF(OR(E366="Apex Office Supplies",E366="Apex Office Supply Ltd"),"Apex Office Supplies",IF(OR(E366="Northstar IT Services",E366="North Star IT Svc"),"Northstar IT Services",IF(OR(E366="Metro Logistics",E366="Metro Logistics Pvt Ltd"),"Metro Logistics",E366)))</f>
        <v/>
      </c>
      <c r="O366" s="7">
        <f>IF(AND(ISNUMBER(L366),L366&gt;0),"Valid","Review")</f>
        <v/>
      </c>
      <c r="P366" s="7">
        <f>IF(OR(E366="",F366="",NOT(ISNUMBER(L366))),"Check Missing/Invalid Data","OK")</f>
        <v/>
      </c>
    </row>
    <row r="367">
      <c r="A367" s="7" t="inlineStr">
        <is>
          <t>PO-00398</t>
        </is>
      </c>
      <c r="B367" s="9" t="n">
        <v>45887</v>
      </c>
      <c r="C367" s="7" t="inlineStr">
        <is>
          <t>Purchase Order</t>
        </is>
      </c>
      <c r="D367" s="7" t="inlineStr">
        <is>
          <t>SUP003</t>
        </is>
      </c>
      <c r="E367" s="7">
        <f>IF(E367="","Unknown Supplier",TRIM(E367))</f>
        <v/>
      </c>
      <c r="F367" s="7">
        <f>IF(F367="","Unclassified",TRIM(F367))</f>
        <v/>
      </c>
      <c r="G367" s="7" t="inlineStr">
        <is>
          <t>Software support</t>
        </is>
      </c>
      <c r="H367" s="7" t="inlineStr">
        <is>
          <t>Corporate</t>
        </is>
      </c>
      <c r="I367" s="7" t="inlineStr">
        <is>
          <t>West</t>
        </is>
      </c>
      <c r="J367" s="7" t="n">
        <v>28</v>
      </c>
      <c r="K367" s="7" t="n">
        <v>188.76</v>
      </c>
      <c r="L367" s="7" t="n">
        <v>5285.14</v>
      </c>
      <c r="M367" s="7" t="inlineStr">
        <is>
          <t>Paid</t>
        </is>
      </c>
      <c r="N367" s="7">
        <f>IF(OR(E367="Apex Office Supplies",E367="Apex Office Supply Ltd"),"Apex Office Supplies",IF(OR(E367="Northstar IT Services",E367="North Star IT Svc"),"Northstar IT Services",IF(OR(E367="Metro Logistics",E367="Metro Logistics Pvt Ltd"),"Metro Logistics",E367)))</f>
        <v/>
      </c>
      <c r="O367" s="7">
        <f>IF(AND(ISNUMBER(L367),L367&gt;0),"Valid","Review")</f>
        <v/>
      </c>
      <c r="P367" s="7">
        <f>IF(OR(E367="",F367="",NOT(ISNUMBER(L367))),"Check Missing/Invalid Data","OK")</f>
        <v/>
      </c>
    </row>
    <row r="368">
      <c r="A368" s="7" t="inlineStr">
        <is>
          <t>PO-00249</t>
        </is>
      </c>
      <c r="B368" s="9" t="n">
        <v>45887</v>
      </c>
      <c r="C368" s="7" t="inlineStr">
        <is>
          <t>Goods Receipt</t>
        </is>
      </c>
      <c r="D368" s="7" t="inlineStr">
        <is>
          <t>SUP007</t>
        </is>
      </c>
      <c r="E368" s="7">
        <f>IF(E368="","Unknown Supplier",TRIM(E368))</f>
        <v/>
      </c>
      <c r="F368" s="7">
        <f>IF(F368="","Unclassified",TRIM(F368))</f>
        <v/>
      </c>
      <c r="G368" s="7" t="inlineStr">
        <is>
          <t>Cleaning services</t>
        </is>
      </c>
      <c r="H368" s="7" t="inlineStr">
        <is>
          <t>Technology</t>
        </is>
      </c>
      <c r="I368" s="7" t="inlineStr">
        <is>
          <t>North</t>
        </is>
      </c>
      <c r="J368" s="7" t="n">
        <v>85</v>
      </c>
      <c r="K368" s="7" t="n">
        <v>145.03</v>
      </c>
      <c r="L368" s="7" t="n">
        <v>12327.22</v>
      </c>
      <c r="M368" s="7" t="inlineStr">
        <is>
          <t>Paid</t>
        </is>
      </c>
      <c r="N368" s="7">
        <f>IF(OR(E368="Apex Office Supplies",E368="Apex Office Supply Ltd"),"Apex Office Supplies",IF(OR(E368="Northstar IT Services",E368="North Star IT Svc"),"Northstar IT Services",IF(OR(E368="Metro Logistics",E368="Metro Logistics Pvt Ltd"),"Metro Logistics",E368)))</f>
        <v/>
      </c>
      <c r="O368" s="7">
        <f>IF(AND(ISNUMBER(L368),L368&gt;0),"Valid","Review")</f>
        <v/>
      </c>
      <c r="P368" s="7">
        <f>IF(OR(E368="",F368="",NOT(ISNUMBER(L368))),"Check Missing/Invalid Data","OK")</f>
        <v/>
      </c>
    </row>
    <row r="369">
      <c r="A369" s="7" t="inlineStr">
        <is>
          <t>PO-00360</t>
        </is>
      </c>
      <c r="B369" s="9" t="n">
        <v>45888</v>
      </c>
      <c r="C369" s="7" t="inlineStr">
        <is>
          <t>Purchase Order</t>
        </is>
      </c>
      <c r="D369" s="7" t="inlineStr">
        <is>
          <t>SUP008</t>
        </is>
      </c>
      <c r="E369" s="7">
        <f>IF(E369="","Unknown Supplier",TRIM(E369))</f>
        <v/>
      </c>
      <c r="F369" s="7">
        <f>IF(F369="","Unclassified",TRIM(F369))</f>
        <v/>
      </c>
      <c r="G369" s="7" t="inlineStr">
        <is>
          <t>Protective packaging</t>
        </is>
      </c>
      <c r="H369" s="7" t="inlineStr">
        <is>
          <t>Technology</t>
        </is>
      </c>
      <c r="I369" s="7" t="inlineStr">
        <is>
          <t>West</t>
        </is>
      </c>
      <c r="J369" s="7" t="n">
        <v>46</v>
      </c>
      <c r="K369" s="7" t="n">
        <v>49.54</v>
      </c>
      <c r="L369" s="7" t="n">
        <v>2278.77</v>
      </c>
      <c r="M369" s="7" t="inlineStr">
        <is>
          <t>Pending</t>
        </is>
      </c>
      <c r="N369" s="7">
        <f>IF(OR(E369="Apex Office Supplies",E369="Apex Office Supply Ltd"),"Apex Office Supplies",IF(OR(E369="Northstar IT Services",E369="North Star IT Svc"),"Northstar IT Services",IF(OR(E369="Metro Logistics",E369="Metro Logistics Pvt Ltd"),"Metro Logistics",E369)))</f>
        <v/>
      </c>
      <c r="O369" s="7">
        <f>IF(AND(ISNUMBER(L369),L369&gt;0),"Valid","Review")</f>
        <v/>
      </c>
      <c r="P369" s="7">
        <f>IF(OR(E369="",F369="",NOT(ISNUMBER(L369))),"Check Missing/Invalid Data","OK")</f>
        <v/>
      </c>
    </row>
    <row r="370">
      <c r="A370" s="7" t="inlineStr">
        <is>
          <t>PO-00074</t>
        </is>
      </c>
      <c r="B370" s="9" t="n">
        <v>45888</v>
      </c>
      <c r="C370" s="7" t="inlineStr">
        <is>
          <t>Invoice</t>
        </is>
      </c>
      <c r="D370" s="7" t="inlineStr">
        <is>
          <t>SUP004</t>
        </is>
      </c>
      <c r="E370" s="7">
        <f>IF(E370="","Unknown Supplier",TRIM(E370))</f>
        <v/>
      </c>
      <c r="F370" s="7">
        <f>IF(F370="","Unclassified",TRIM(F370))</f>
        <v/>
      </c>
      <c r="G370" s="7" t="inlineStr">
        <is>
          <t>Cloud services</t>
        </is>
      </c>
      <c r="H370" s="7" t="inlineStr">
        <is>
          <t>Corporate</t>
        </is>
      </c>
      <c r="I370" s="7" t="inlineStr">
        <is>
          <t>West</t>
        </is>
      </c>
      <c r="J370" s="7" t="n">
        <v>86</v>
      </c>
      <c r="K370" s="7" t="n">
        <v>203.78</v>
      </c>
      <c r="L370" s="7" t="n">
        <v>17525.15</v>
      </c>
      <c r="M370" s="7" t="inlineStr">
        <is>
          <t>Pending</t>
        </is>
      </c>
      <c r="N370" s="7">
        <f>IF(OR(E370="Apex Office Supplies",E370="Apex Office Supply Ltd"),"Apex Office Supplies",IF(OR(E370="Northstar IT Services",E370="North Star IT Svc"),"Northstar IT Services",IF(OR(E370="Metro Logistics",E370="Metro Logistics Pvt Ltd"),"Metro Logistics",E370)))</f>
        <v/>
      </c>
      <c r="O370" s="7">
        <f>IF(AND(ISNUMBER(L370),L370&gt;0),"Valid","Review")</f>
        <v/>
      </c>
      <c r="P370" s="7">
        <f>IF(OR(E370="",F370="",NOT(ISNUMBER(L370))),"Check Missing/Invalid Data","OK")</f>
        <v/>
      </c>
    </row>
    <row r="371">
      <c r="A371" s="7" t="inlineStr">
        <is>
          <t>PO-00197</t>
        </is>
      </c>
      <c r="B371" s="9" t="n">
        <v>45889</v>
      </c>
      <c r="C371" s="7" t="inlineStr">
        <is>
          <t>Goods Receipt</t>
        </is>
      </c>
      <c r="D371" s="7" t="inlineStr">
        <is>
          <t>SUP003</t>
        </is>
      </c>
      <c r="E371" s="7">
        <f>IF(E371="","Unknown Supplier",TRIM(E371))</f>
        <v/>
      </c>
      <c r="F371" s="7">
        <f>IF(F371="","Unclassified",TRIM(F371))</f>
        <v/>
      </c>
      <c r="G371" s="7" t="inlineStr">
        <is>
          <t>Cloud services</t>
        </is>
      </c>
      <c r="H371" s="7" t="inlineStr">
        <is>
          <t>Technology</t>
        </is>
      </c>
      <c r="I371" s="7" t="inlineStr">
        <is>
          <t>North</t>
        </is>
      </c>
      <c r="J371" s="7" t="n">
        <v>12</v>
      </c>
      <c r="K371" s="7" t="n">
        <v>1144.47</v>
      </c>
      <c r="L371" s="7" t="n">
        <v>13733.6</v>
      </c>
      <c r="M371" s="7" t="inlineStr">
        <is>
          <t>Overdue</t>
        </is>
      </c>
      <c r="N371" s="7">
        <f>IF(OR(E371="Apex Office Supplies",E371="Apex Office Supply Ltd"),"Apex Office Supplies",IF(OR(E371="Northstar IT Services",E371="North Star IT Svc"),"Northstar IT Services",IF(OR(E371="Metro Logistics",E371="Metro Logistics Pvt Ltd"),"Metro Logistics",E371)))</f>
        <v/>
      </c>
      <c r="O371" s="7">
        <f>IF(AND(ISNUMBER(L371),L371&gt;0),"Valid","Review")</f>
        <v/>
      </c>
      <c r="P371" s="7">
        <f>IF(OR(E371="",F371="",NOT(ISNUMBER(L371))),"Check Missing/Invalid Data","OK")</f>
        <v/>
      </c>
    </row>
    <row r="372">
      <c r="A372" s="7" t="inlineStr">
        <is>
          <t>PO-00566</t>
        </is>
      </c>
      <c r="B372" s="9" t="n">
        <v>45889</v>
      </c>
      <c r="C372" s="7" t="inlineStr">
        <is>
          <t>Purchase Order</t>
        </is>
      </c>
      <c r="D372" s="7" t="inlineStr">
        <is>
          <t>SUP005</t>
        </is>
      </c>
      <c r="E372" s="7">
        <f>IF(E372="","Unknown Supplier",TRIM(E372))</f>
        <v/>
      </c>
      <c r="F372" s="7">
        <f>IF(F372="","Unclassified",TRIM(F372))</f>
        <v/>
      </c>
      <c r="G372" s="7" t="inlineStr">
        <is>
          <t>Freight services</t>
        </is>
      </c>
      <c r="H372" s="7" t="inlineStr">
        <is>
          <t>Corporate</t>
        </is>
      </c>
      <c r="I372" s="7" t="inlineStr">
        <is>
          <t>North</t>
        </is>
      </c>
      <c r="J372" s="7" t="n">
        <v>42</v>
      </c>
      <c r="K372" s="7" t="n">
        <v>360.92</v>
      </c>
      <c r="L372" s="7" t="n">
        <v>15158.71</v>
      </c>
      <c r="M372" s="7" t="inlineStr">
        <is>
          <t>Paid</t>
        </is>
      </c>
      <c r="N372" s="7">
        <f>IF(OR(E372="Apex Office Supplies",E372="Apex Office Supply Ltd"),"Apex Office Supplies",IF(OR(E372="Northstar IT Services",E372="North Star IT Svc"),"Northstar IT Services",IF(OR(E372="Metro Logistics",E372="Metro Logistics Pvt Ltd"),"Metro Logistics",E372)))</f>
        <v/>
      </c>
      <c r="O372" s="7">
        <f>IF(AND(ISNUMBER(L372),L372&gt;0),"Valid","Review")</f>
        <v/>
      </c>
      <c r="P372" s="7">
        <f>IF(OR(E372="",F372="",NOT(ISNUMBER(L372))),"Check Missing/Invalid Data","OK")</f>
        <v/>
      </c>
    </row>
    <row r="373">
      <c r="A373" s="7" t="inlineStr">
        <is>
          <t>PO-00139</t>
        </is>
      </c>
      <c r="B373" s="9" t="n">
        <v>45889</v>
      </c>
      <c r="C373" s="7" t="inlineStr">
        <is>
          <t>Invoice</t>
        </is>
      </c>
      <c r="D373" s="7" t="inlineStr">
        <is>
          <t>SUP004</t>
        </is>
      </c>
      <c r="E373" s="7">
        <f>IF(E373="","Unknown Supplier",TRIM(E373))</f>
        <v/>
      </c>
      <c r="F373" s="7">
        <f>IF(F373="","Unclassified",TRIM(F373))</f>
        <v/>
      </c>
      <c r="G373" s="7" t="inlineStr">
        <is>
          <t>IT consulting</t>
        </is>
      </c>
      <c r="H373" s="7" t="inlineStr">
        <is>
          <t>Corporate</t>
        </is>
      </c>
      <c r="I373" s="7" t="inlineStr">
        <is>
          <t>East</t>
        </is>
      </c>
      <c r="J373" s="7" t="n">
        <v>52</v>
      </c>
      <c r="K373" s="7" t="n">
        <v>487.58</v>
      </c>
      <c r="L373" s="7" t="n">
        <v>25354.23</v>
      </c>
      <c r="M373" s="7" t="inlineStr">
        <is>
          <t>Pending</t>
        </is>
      </c>
      <c r="N373" s="7">
        <f>IF(OR(E373="Apex Office Supplies",E373="Apex Office Supply Ltd"),"Apex Office Supplies",IF(OR(E373="Northstar IT Services",E373="North Star IT Svc"),"Northstar IT Services",IF(OR(E373="Metro Logistics",E373="Metro Logistics Pvt Ltd"),"Metro Logistics",E373)))</f>
        <v/>
      </c>
      <c r="O373" s="7">
        <f>IF(AND(ISNUMBER(L373),L373&gt;0),"Valid","Review")</f>
        <v/>
      </c>
      <c r="P373" s="7">
        <f>IF(OR(E373="",F373="",NOT(ISNUMBER(L373))),"Check Missing/Invalid Data","OK")</f>
        <v/>
      </c>
    </row>
    <row r="374">
      <c r="A374" s="7" t="inlineStr">
        <is>
          <t>PO-00468</t>
        </is>
      </c>
      <c r="B374" s="9" t="n">
        <v>45889</v>
      </c>
      <c r="C374" s="7" t="inlineStr">
        <is>
          <t>Purchase Order</t>
        </is>
      </c>
      <c r="D374" s="7" t="inlineStr">
        <is>
          <t>SUP002</t>
        </is>
      </c>
      <c r="E374" s="7">
        <f>IF(E374="","Unknown Supplier",TRIM(E374))</f>
        <v/>
      </c>
      <c r="F374" s="7">
        <f>IF(F374="","Unclassified",TRIM(F374))</f>
        <v/>
      </c>
      <c r="G374" s="7" t="inlineStr">
        <is>
          <t>Toner cartridges</t>
        </is>
      </c>
      <c r="H374" s="7" t="inlineStr">
        <is>
          <t>Manufacturing</t>
        </is>
      </c>
      <c r="I374" s="7" t="inlineStr">
        <is>
          <t>West</t>
        </is>
      </c>
      <c r="J374" s="7" t="n">
        <v>72</v>
      </c>
      <c r="K374" s="7" t="n">
        <v>169.42</v>
      </c>
      <c r="L374" s="7" t="n">
        <v>12198.41</v>
      </c>
      <c r="M374" s="7" t="inlineStr">
        <is>
          <t>Paid</t>
        </is>
      </c>
      <c r="N374" s="7">
        <f>IF(OR(E374="Apex Office Supplies",E374="Apex Office Supply Ltd"),"Apex Office Supplies",IF(OR(E374="Northstar IT Services",E374="North Star IT Svc"),"Northstar IT Services",IF(OR(E374="Metro Logistics",E374="Metro Logistics Pvt Ltd"),"Metro Logistics",E374)))</f>
        <v/>
      </c>
      <c r="O374" s="7">
        <f>IF(AND(ISNUMBER(L374),L374&gt;0),"Valid","Review")</f>
        <v/>
      </c>
      <c r="P374" s="7">
        <f>IF(OR(E374="",F374="",NOT(ISNUMBER(L374))),"Check Missing/Invalid Data","OK")</f>
        <v/>
      </c>
    </row>
    <row r="375">
      <c r="A375" s="7" t="inlineStr">
        <is>
          <t>PO-00246</t>
        </is>
      </c>
      <c r="B375" s="9" t="n">
        <v>45890</v>
      </c>
      <c r="C375" s="7" t="inlineStr">
        <is>
          <t>Goods Receipt</t>
        </is>
      </c>
      <c r="D375" s="7" t="inlineStr">
        <is>
          <t>SUP003</t>
        </is>
      </c>
      <c r="E375" s="7">
        <f>IF(E375="","Unknown Supplier",TRIM(E375))</f>
        <v/>
      </c>
      <c r="F375" s="7">
        <f>IF(F375="","Unclassified",TRIM(F375))</f>
        <v/>
      </c>
      <c r="G375" s="7" t="inlineStr">
        <is>
          <t>Cloud services</t>
        </is>
      </c>
      <c r="H375" s="7" t="inlineStr">
        <is>
          <t>Technology</t>
        </is>
      </c>
      <c r="I375" s="7" t="inlineStr">
        <is>
          <t>North</t>
        </is>
      </c>
      <c r="J375" s="7" t="n">
        <v>8</v>
      </c>
      <c r="K375" s="7" t="n">
        <v>1761.11</v>
      </c>
      <c r="L375" s="7" t="n">
        <v>14088.85</v>
      </c>
      <c r="M375" s="7" t="inlineStr">
        <is>
          <t>Pending</t>
        </is>
      </c>
      <c r="N375" s="7">
        <f>IF(OR(E375="Apex Office Supplies",E375="Apex Office Supply Ltd"),"Apex Office Supplies",IF(OR(E375="Northstar IT Services",E375="North Star IT Svc"),"Northstar IT Services",IF(OR(E375="Metro Logistics",E375="Metro Logistics Pvt Ltd"),"Metro Logistics",E375)))</f>
        <v/>
      </c>
      <c r="O375" s="7">
        <f>IF(AND(ISNUMBER(L375),L375&gt;0),"Valid","Review")</f>
        <v/>
      </c>
      <c r="P375" s="7">
        <f>IF(OR(E375="",F375="",NOT(ISNUMBER(L375))),"Check Missing/Invalid Data","OK")</f>
        <v/>
      </c>
    </row>
    <row r="376">
      <c r="A376" s="7" t="inlineStr">
        <is>
          <t>PO-00302</t>
        </is>
      </c>
      <c r="B376" s="9" t="n">
        <v>45891</v>
      </c>
      <c r="C376" s="7" t="inlineStr">
        <is>
          <t>Invoice</t>
        </is>
      </c>
      <c r="D376" s="7" t="inlineStr">
        <is>
          <t>SUP004</t>
        </is>
      </c>
      <c r="E376" s="7">
        <f>IF(E376="","Unknown Supplier",TRIM(E376))</f>
        <v/>
      </c>
      <c r="F376" s="7">
        <f>IF(F376="","Unclassified",TRIM(F376))</f>
        <v/>
      </c>
      <c r="G376" s="7" t="inlineStr">
        <is>
          <t>IT consulting</t>
        </is>
      </c>
      <c r="H376" s="7" t="inlineStr">
        <is>
          <t>Sales</t>
        </is>
      </c>
      <c r="I376" s="7" t="inlineStr">
        <is>
          <t>East</t>
        </is>
      </c>
      <c r="J376" s="7" t="n">
        <v>13</v>
      </c>
      <c r="K376" s="7" t="n">
        <v>830.0700000000001</v>
      </c>
      <c r="L376" s="7" t="n">
        <v>10790.94</v>
      </c>
      <c r="M376" s="7" t="inlineStr">
        <is>
          <t>Paid</t>
        </is>
      </c>
      <c r="N376" s="7">
        <f>IF(OR(E376="Apex Office Supplies",E376="Apex Office Supply Ltd"),"Apex Office Supplies",IF(OR(E376="Northstar IT Services",E376="North Star IT Svc"),"Northstar IT Services",IF(OR(E376="Metro Logistics",E376="Metro Logistics Pvt Ltd"),"Metro Logistics",E376)))</f>
        <v/>
      </c>
      <c r="O376" s="7">
        <f>IF(AND(ISNUMBER(L376),L376&gt;0),"Valid","Review")</f>
        <v/>
      </c>
      <c r="P376" s="7">
        <f>IF(OR(E376="",F376="",NOT(ISNUMBER(L376))),"Check Missing/Invalid Data","OK")</f>
        <v/>
      </c>
    </row>
    <row r="377">
      <c r="A377" s="7" t="inlineStr">
        <is>
          <t>PO-00444</t>
        </is>
      </c>
      <c r="B377" s="9" t="n">
        <v>45891</v>
      </c>
      <c r="C377" s="7" t="inlineStr">
        <is>
          <t>Invoice</t>
        </is>
      </c>
      <c r="D377" s="7" t="inlineStr">
        <is>
          <t>SUP005</t>
        </is>
      </c>
      <c r="E377" s="7">
        <f>IF(E377="","Unknown Supplier",TRIM(E377))</f>
        <v/>
      </c>
      <c r="F377" s="7">
        <f>IF(F377="","Unclassified",TRIM(F377))</f>
        <v/>
      </c>
      <c r="G377" s="7" t="inlineStr">
        <is>
          <t>Warehouse handling</t>
        </is>
      </c>
      <c r="H377" s="7" t="inlineStr">
        <is>
          <t>Operations</t>
        </is>
      </c>
      <c r="I377" s="7" t="inlineStr">
        <is>
          <t>North</t>
        </is>
      </c>
      <c r="J377" s="7" t="n">
        <v>62</v>
      </c>
      <c r="K377" s="7" t="n">
        <v>341.52</v>
      </c>
      <c r="L377" s="7" t="n">
        <v>21174.27</v>
      </c>
      <c r="M377" s="7" t="inlineStr">
        <is>
          <t>Paid</t>
        </is>
      </c>
      <c r="N377" s="7">
        <f>IF(OR(E377="Apex Office Supplies",E377="Apex Office Supply Ltd"),"Apex Office Supplies",IF(OR(E377="Northstar IT Services",E377="North Star IT Svc"),"Northstar IT Services",IF(OR(E377="Metro Logistics",E377="Metro Logistics Pvt Ltd"),"Metro Logistics",E377)))</f>
        <v/>
      </c>
      <c r="O377" s="7">
        <f>IF(AND(ISNUMBER(L377),L377&gt;0),"Valid","Review")</f>
        <v/>
      </c>
      <c r="P377" s="7">
        <f>IF(OR(E377="",F377="",NOT(ISNUMBER(L377))),"Check Missing/Invalid Data","OK")</f>
        <v/>
      </c>
    </row>
    <row r="378">
      <c r="A378" s="7" t="inlineStr">
        <is>
          <t>PO-00589</t>
        </is>
      </c>
      <c r="B378" s="9" t="n">
        <v>45892</v>
      </c>
      <c r="C378" s="7" t="inlineStr">
        <is>
          <t>Purchase Order</t>
        </is>
      </c>
      <c r="D378" s="7" t="inlineStr">
        <is>
          <t>SUP012</t>
        </is>
      </c>
      <c r="E378" s="7">
        <f>IF(E378="","Unknown Supplier",TRIM(E378))</f>
        <v/>
      </c>
      <c r="F378" s="7">
        <f>IF(F378="","Unclassified",TRIM(F378))</f>
        <v/>
      </c>
      <c r="G378" s="7" t="inlineStr">
        <is>
          <t>Tools and supplies</t>
        </is>
      </c>
      <c r="H378" s="7" t="inlineStr">
        <is>
          <t>Sales</t>
        </is>
      </c>
      <c r="I378" s="7" t="inlineStr">
        <is>
          <t>East</t>
        </is>
      </c>
      <c r="J378" s="7" t="n">
        <v>22</v>
      </c>
      <c r="K378" s="7" t="n">
        <v>722.95</v>
      </c>
      <c r="L378" s="7" t="n">
        <v>15904.89</v>
      </c>
      <c r="M378" s="7" t="inlineStr">
        <is>
          <t>Overdue</t>
        </is>
      </c>
      <c r="N378" s="7">
        <f>IF(OR(E378="Apex Office Supplies",E378="Apex Office Supply Ltd"),"Apex Office Supplies",IF(OR(E378="Northstar IT Services",E378="North Star IT Svc"),"Northstar IT Services",IF(OR(E378="Metro Logistics",E378="Metro Logistics Pvt Ltd"),"Metro Logistics",E378)))</f>
        <v/>
      </c>
      <c r="O378" s="7">
        <f>IF(AND(ISNUMBER(L378),L378&gt;0),"Valid","Review")</f>
        <v/>
      </c>
      <c r="P378" s="7">
        <f>IF(OR(E378="",F378="",NOT(ISNUMBER(L378))),"Check Missing/Invalid Data","OK")</f>
        <v/>
      </c>
    </row>
    <row r="379">
      <c r="A379" s="7" t="inlineStr">
        <is>
          <t>PO-00327</t>
        </is>
      </c>
      <c r="B379" s="9" t="n">
        <v>45893</v>
      </c>
      <c r="C379" s="7" t="inlineStr">
        <is>
          <t>Invoice</t>
        </is>
      </c>
      <c r="D379" s="7" t="inlineStr">
        <is>
          <t>SUP001</t>
        </is>
      </c>
      <c r="E379" s="7">
        <f>IF(E379="","Unknown Supplier",TRIM(E379))</f>
        <v/>
      </c>
      <c r="F379" s="7">
        <f>IF(F379="","Unclassified",TRIM(F379))</f>
        <v/>
      </c>
      <c r="G379" s="7" t="inlineStr">
        <is>
          <t>Printer paper</t>
        </is>
      </c>
      <c r="H379" s="7" t="inlineStr">
        <is>
          <t>Sales</t>
        </is>
      </c>
      <c r="I379" s="7" t="inlineStr">
        <is>
          <t>South</t>
        </is>
      </c>
      <c r="J379" s="7" t="n">
        <v>57</v>
      </c>
      <c r="K379" s="7" t="n">
        <v>271.14</v>
      </c>
      <c r="L379" s="7" t="n">
        <v>15454.81</v>
      </c>
      <c r="M379" s="7" t="inlineStr">
        <is>
          <t>Overdue</t>
        </is>
      </c>
      <c r="N379" s="7">
        <f>IF(OR(E379="Apex Office Supplies",E379="Apex Office Supply Ltd"),"Apex Office Supplies",IF(OR(E379="Northstar IT Services",E379="North Star IT Svc"),"Northstar IT Services",IF(OR(E379="Metro Logistics",E379="Metro Logistics Pvt Ltd"),"Metro Logistics",E379)))</f>
        <v/>
      </c>
      <c r="O379" s="7">
        <f>IF(AND(ISNUMBER(L379),L379&gt;0),"Valid","Review")</f>
        <v/>
      </c>
      <c r="P379" s="7">
        <f>IF(OR(E379="",F379="",NOT(ISNUMBER(L379))),"Check Missing/Invalid Data","OK")</f>
        <v/>
      </c>
    </row>
    <row r="380">
      <c r="A380" s="7" t="inlineStr">
        <is>
          <t>PO-00009</t>
        </is>
      </c>
      <c r="B380" s="9" t="n">
        <v>45894</v>
      </c>
      <c r="C380" s="7" t="inlineStr">
        <is>
          <t>Goods Receipt</t>
        </is>
      </c>
      <c r="D380" s="7" t="inlineStr">
        <is>
          <t>SUP007</t>
        </is>
      </c>
      <c r="E380" s="7">
        <f>IF(E380="","Unknown Supplier",TRIM(E380))</f>
        <v/>
      </c>
      <c r="F380" s="7">
        <f>IF(F380="","Unclassified",TRIM(F380))</f>
        <v/>
      </c>
      <c r="G380" s="7" t="inlineStr">
        <is>
          <t>Cleaning services</t>
        </is>
      </c>
      <c r="H380" s="7" t="inlineStr">
        <is>
          <t>Technology</t>
        </is>
      </c>
      <c r="I380" s="7" t="inlineStr">
        <is>
          <t>North</t>
        </is>
      </c>
      <c r="J380" s="7" t="n">
        <v>89</v>
      </c>
      <c r="K380" s="7" t="n">
        <v>187.26</v>
      </c>
      <c r="L380" s="7" t="n">
        <v>16665.99</v>
      </c>
      <c r="M380" s="7" t="inlineStr">
        <is>
          <t>Paid</t>
        </is>
      </c>
      <c r="N380" s="7">
        <f>IF(OR(E380="Apex Office Supplies",E380="Apex Office Supply Ltd"),"Apex Office Supplies",IF(OR(E380="Northstar IT Services",E380="North Star IT Svc"),"Northstar IT Services",IF(OR(E380="Metro Logistics",E380="Metro Logistics Pvt Ltd"),"Metro Logistics",E380)))</f>
        <v/>
      </c>
      <c r="O380" s="7">
        <f>IF(AND(ISNUMBER(L380),L380&gt;0),"Valid","Review")</f>
        <v/>
      </c>
      <c r="P380" s="7">
        <f>IF(OR(E380="",F380="",NOT(ISNUMBER(L380))),"Check Missing/Invalid Data","OK")</f>
        <v/>
      </c>
    </row>
    <row r="381">
      <c r="A381" s="7" t="inlineStr">
        <is>
          <t>PO-00441</t>
        </is>
      </c>
      <c r="B381" s="9" t="n">
        <v>45895</v>
      </c>
      <c r="C381" s="7" t="inlineStr">
        <is>
          <t>Invoice</t>
        </is>
      </c>
      <c r="D381" s="7" t="inlineStr">
        <is>
          <t>SUP001</t>
        </is>
      </c>
      <c r="E381" s="7">
        <f>IF(E381="","Unknown Supplier",TRIM(E381))</f>
        <v/>
      </c>
      <c r="F381" s="7">
        <f>IF(F381="","Unclassified",TRIM(F381))</f>
        <v/>
      </c>
      <c r="G381" s="7" t="inlineStr">
        <is>
          <t>Pens and stationery</t>
        </is>
      </c>
      <c r="H381" s="7" t="inlineStr">
        <is>
          <t>Technology</t>
        </is>
      </c>
      <c r="I381" s="7" t="inlineStr">
        <is>
          <t>West</t>
        </is>
      </c>
      <c r="J381" s="7" t="n">
        <v>6</v>
      </c>
      <c r="K381" s="7" t="n">
        <v>540.61</v>
      </c>
      <c r="L381" s="7" t="n">
        <v>3243.67</v>
      </c>
      <c r="M381" s="7" t="inlineStr">
        <is>
          <t>Overdue</t>
        </is>
      </c>
      <c r="N381" s="7">
        <f>IF(OR(E381="Apex Office Supplies",E381="Apex Office Supply Ltd"),"Apex Office Supplies",IF(OR(E381="Northstar IT Services",E381="North Star IT Svc"),"Northstar IT Services",IF(OR(E381="Metro Logistics",E381="Metro Logistics Pvt Ltd"),"Metro Logistics",E381)))</f>
        <v/>
      </c>
      <c r="O381" s="7">
        <f>IF(AND(ISNUMBER(L381),L381&gt;0),"Valid","Review")</f>
        <v/>
      </c>
      <c r="P381" s="7">
        <f>IF(OR(E381="",F381="",NOT(ISNUMBER(L381))),"Check Missing/Invalid Data","OK")</f>
        <v/>
      </c>
    </row>
    <row r="382">
      <c r="A382" s="7" t="inlineStr">
        <is>
          <t>PO-00060</t>
        </is>
      </c>
      <c r="B382" s="9" t="n">
        <v>45896</v>
      </c>
      <c r="C382" s="7" t="inlineStr">
        <is>
          <t>Goods Receipt</t>
        </is>
      </c>
      <c r="D382" s="7" t="inlineStr">
        <is>
          <t>SUP007</t>
        </is>
      </c>
      <c r="E382" s="7">
        <f>IF(E382="","Unknown Supplier",TRIM(E382))</f>
        <v/>
      </c>
      <c r="F382" s="7">
        <f>IF(F382="","Unclassified",TRIM(F382))</f>
        <v/>
      </c>
      <c r="G382" s="7" t="inlineStr">
        <is>
          <t>Natural gas</t>
        </is>
      </c>
      <c r="H382" s="7" t="inlineStr">
        <is>
          <t>Corporate</t>
        </is>
      </c>
      <c r="I382" s="7" t="inlineStr">
        <is>
          <t>West</t>
        </is>
      </c>
      <c r="J382" s="7" t="n">
        <v>99</v>
      </c>
      <c r="K382" s="7" t="n">
        <v>71.55</v>
      </c>
      <c r="L382" s="7" t="n">
        <v>7083.85</v>
      </c>
      <c r="M382" s="7" t="inlineStr">
        <is>
          <t>Pending</t>
        </is>
      </c>
      <c r="N382" s="7">
        <f>IF(OR(E382="Apex Office Supplies",E382="Apex Office Supply Ltd"),"Apex Office Supplies",IF(OR(E382="Northstar IT Services",E382="North Star IT Svc"),"Northstar IT Services",IF(OR(E382="Metro Logistics",E382="Metro Logistics Pvt Ltd"),"Metro Logistics",E382)))</f>
        <v/>
      </c>
      <c r="O382" s="7">
        <f>IF(AND(ISNUMBER(L382),L382&gt;0),"Valid","Review")</f>
        <v/>
      </c>
      <c r="P382" s="7">
        <f>IF(OR(E382="",F382="",NOT(ISNUMBER(L382))),"Check Missing/Invalid Data","OK")</f>
        <v/>
      </c>
    </row>
    <row r="383">
      <c r="A383" s="7" t="inlineStr">
        <is>
          <t>PO-00014</t>
        </is>
      </c>
      <c r="B383" s="9" t="n">
        <v>45897</v>
      </c>
      <c r="C383" s="7" t="inlineStr">
        <is>
          <t>Goods Receipt</t>
        </is>
      </c>
      <c r="D383" s="7" t="inlineStr">
        <is>
          <t>SUP009</t>
        </is>
      </c>
      <c r="E383" s="7">
        <f>IF(E383="","Unknown Supplier",TRIM(E383))</f>
        <v/>
      </c>
      <c r="F383" s="7">
        <f>IF(F383="","Unclassified",TRIM(F383))</f>
        <v/>
      </c>
      <c r="G383" s="7" t="inlineStr">
        <is>
          <t>Audit support</t>
        </is>
      </c>
      <c r="H383" s="7" t="inlineStr">
        <is>
          <t>Corporate</t>
        </is>
      </c>
      <c r="I383" s="7" t="inlineStr">
        <is>
          <t>East</t>
        </is>
      </c>
      <c r="J383" s="7" t="n">
        <v>2</v>
      </c>
      <c r="K383" s="7" t="n">
        <v>8509.92</v>
      </c>
      <c r="L383" s="7" t="n">
        <v>17019.85</v>
      </c>
      <c r="M383" s="7" t="inlineStr">
        <is>
          <t>Overdue</t>
        </is>
      </c>
      <c r="N383" s="7">
        <f>IF(OR(E383="Apex Office Supplies",E383="Apex Office Supply Ltd"),"Apex Office Supplies",IF(OR(E383="Northstar IT Services",E383="North Star IT Svc"),"Northstar IT Services",IF(OR(E383="Metro Logistics",E383="Metro Logistics Pvt Ltd"),"Metro Logistics",E383)))</f>
        <v/>
      </c>
      <c r="O383" s="7">
        <f>IF(AND(ISNUMBER(L383),L383&gt;0),"Valid","Review")</f>
        <v/>
      </c>
      <c r="P383" s="7">
        <f>IF(OR(E383="",F383="",NOT(ISNUMBER(L383))),"Check Missing/Invalid Data","OK")</f>
        <v/>
      </c>
    </row>
    <row r="384">
      <c r="A384" s="7" t="inlineStr">
        <is>
          <t>PO-00503</t>
        </is>
      </c>
      <c r="B384" s="9" t="n">
        <v>45898</v>
      </c>
      <c r="C384" s="7" t="inlineStr">
        <is>
          <t>Invoice</t>
        </is>
      </c>
      <c r="D384" s="7" t="inlineStr">
        <is>
          <t>SUP008</t>
        </is>
      </c>
      <c r="E384" s="7">
        <f>IF(E384="","Unknown Supplier",TRIM(E384))</f>
        <v/>
      </c>
      <c r="F384" s="7">
        <f>IF(F384="","Unclassified",TRIM(F384))</f>
        <v/>
      </c>
      <c r="G384" s="7" t="inlineStr">
        <is>
          <t>Corrugated boxes</t>
        </is>
      </c>
      <c r="H384" s="7" t="inlineStr">
        <is>
          <t>Manufacturing</t>
        </is>
      </c>
      <c r="I384" s="7" t="inlineStr">
        <is>
          <t>East</t>
        </is>
      </c>
      <c r="J384" s="7" t="n">
        <v>84</v>
      </c>
      <c r="K384" s="7" t="n">
        <v>9.92</v>
      </c>
      <c r="L384" s="7" t="n">
        <v>833.5</v>
      </c>
      <c r="M384" s="7" t="inlineStr">
        <is>
          <t>Overdue</t>
        </is>
      </c>
      <c r="N384" s="7">
        <f>IF(OR(E384="Apex Office Supplies",E384="Apex Office Supply Ltd"),"Apex Office Supplies",IF(OR(E384="Northstar IT Services",E384="North Star IT Svc"),"Northstar IT Services",IF(OR(E384="Metro Logistics",E384="Metro Logistics Pvt Ltd"),"Metro Logistics",E384)))</f>
        <v/>
      </c>
      <c r="O384" s="7">
        <f>IF(AND(ISNUMBER(L384),L384&gt;0),"Valid","Review")</f>
        <v/>
      </c>
      <c r="P384" s="7">
        <f>IF(OR(E384="",F384="",NOT(ISNUMBER(L384))),"Check Missing/Invalid Data","OK")</f>
        <v/>
      </c>
    </row>
    <row r="385">
      <c r="A385" s="7" t="inlineStr">
        <is>
          <t>PO-00178</t>
        </is>
      </c>
      <c r="B385" s="9" t="n">
        <v>45898</v>
      </c>
      <c r="C385" s="7" t="inlineStr">
        <is>
          <t>Invoice</t>
        </is>
      </c>
      <c r="D385" s="7" t="inlineStr">
        <is>
          <t>SUP008</t>
        </is>
      </c>
      <c r="E385" s="7">
        <f>IF(E385="","Unknown Supplier",TRIM(E385))</f>
        <v/>
      </c>
      <c r="F385" s="7">
        <f>IF(F385="","Unclassified",TRIM(F385))</f>
        <v/>
      </c>
      <c r="G385" s="7" t="inlineStr">
        <is>
          <t>Corrugated boxes</t>
        </is>
      </c>
      <c r="H385" s="7" t="inlineStr">
        <is>
          <t>Operations</t>
        </is>
      </c>
      <c r="I385" s="7" t="inlineStr">
        <is>
          <t>West</t>
        </is>
      </c>
      <c r="J385" s="7" t="n">
        <v>3</v>
      </c>
      <c r="K385" s="7" t="n">
        <v>5438.91</v>
      </c>
      <c r="L385" s="7" t="n">
        <v>16316.73</v>
      </c>
      <c r="M385" s="7" t="inlineStr">
        <is>
          <t>Paid</t>
        </is>
      </c>
      <c r="N385" s="7">
        <f>IF(OR(E385="Apex Office Supplies",E385="Apex Office Supply Ltd"),"Apex Office Supplies",IF(OR(E385="Northstar IT Services",E385="North Star IT Svc"),"Northstar IT Services",IF(OR(E385="Metro Logistics",E385="Metro Logistics Pvt Ltd"),"Metro Logistics",E385)))</f>
        <v/>
      </c>
      <c r="O385" s="7">
        <f>IF(AND(ISNUMBER(L385),L385&gt;0),"Valid","Review")</f>
        <v/>
      </c>
      <c r="P385" s="7">
        <f>IF(OR(E385="",F385="",NOT(ISNUMBER(L385))),"Check Missing/Invalid Data","OK")</f>
        <v/>
      </c>
    </row>
    <row r="386">
      <c r="A386" s="7" t="inlineStr">
        <is>
          <t>PO-00248</t>
        </is>
      </c>
      <c r="B386" s="9" t="n">
        <v>45899</v>
      </c>
      <c r="C386" s="7" t="inlineStr">
        <is>
          <t>Goods Receipt</t>
        </is>
      </c>
      <c r="D386" s="7" t="inlineStr">
        <is>
          <t>SUP001</t>
        </is>
      </c>
      <c r="E386" s="7">
        <f>IF(E386="","Unknown Supplier",TRIM(E386))</f>
        <v/>
      </c>
      <c r="F386" s="7">
        <f>IF(F386="","Unclassified",TRIM(F386))</f>
        <v/>
      </c>
      <c r="G386" s="7" t="inlineStr">
        <is>
          <t>Toner cartridges</t>
        </is>
      </c>
      <c r="H386" s="7" t="inlineStr">
        <is>
          <t>Sales</t>
        </is>
      </c>
      <c r="I386" s="7" t="inlineStr">
        <is>
          <t>East</t>
        </is>
      </c>
      <c r="J386" s="7" t="n">
        <v>18</v>
      </c>
      <c r="K386" s="7" t="n">
        <v>185.45</v>
      </c>
      <c r="L386" s="7" t="n">
        <v>3338.07</v>
      </c>
      <c r="M386" s="7" t="inlineStr">
        <is>
          <t>Pending</t>
        </is>
      </c>
      <c r="N386" s="7">
        <f>IF(OR(E386="Apex Office Supplies",E386="Apex Office Supply Ltd"),"Apex Office Supplies",IF(OR(E386="Northstar IT Services",E386="North Star IT Svc"),"Northstar IT Services",IF(OR(E386="Metro Logistics",E386="Metro Logistics Pvt Ltd"),"Metro Logistics",E386)))</f>
        <v/>
      </c>
      <c r="O386" s="7">
        <f>IF(AND(ISNUMBER(L386),L386&gt;0),"Valid","Review")</f>
        <v/>
      </c>
      <c r="P386" s="7">
        <f>IF(OR(E386="",F386="",NOT(ISNUMBER(L386))),"Check Missing/Invalid Data","OK")</f>
        <v/>
      </c>
    </row>
    <row r="387">
      <c r="A387" s="7" t="inlineStr">
        <is>
          <t>PO-00524</t>
        </is>
      </c>
      <c r="B387" s="9" t="n">
        <v>45899</v>
      </c>
      <c r="C387" s="7" t="inlineStr">
        <is>
          <t>Invoice</t>
        </is>
      </c>
      <c r="D387" s="7" t="inlineStr">
        <is>
          <t>SUP010</t>
        </is>
      </c>
      <c r="E387" s="7">
        <f>IF(E387="","Unknown Supplier",TRIM(E387))</f>
        <v/>
      </c>
      <c r="F387" s="7">
        <f>IF(F387="","Unclassified",TRIM(F387))</f>
        <v/>
      </c>
      <c r="G387" s="7" t="inlineStr">
        <is>
          <t>Electricity</t>
        </is>
      </c>
      <c r="H387" s="7" t="inlineStr">
        <is>
          <t>Manufacturing</t>
        </is>
      </c>
      <c r="I387" s="7" t="inlineStr">
        <is>
          <t>North</t>
        </is>
      </c>
      <c r="J387" s="7" t="n">
        <v>29</v>
      </c>
      <c r="K387" s="7" t="n">
        <v>43.65</v>
      </c>
      <c r="L387" s="7" t="n">
        <v>1265.76</v>
      </c>
      <c r="M387" s="7" t="inlineStr">
        <is>
          <t>Overdue</t>
        </is>
      </c>
      <c r="N387" s="7">
        <f>IF(OR(E387="Apex Office Supplies",E387="Apex Office Supply Ltd"),"Apex Office Supplies",IF(OR(E387="Northstar IT Services",E387="North Star IT Svc"),"Northstar IT Services",IF(OR(E387="Metro Logistics",E387="Metro Logistics Pvt Ltd"),"Metro Logistics",E387)))</f>
        <v/>
      </c>
      <c r="O387" s="7">
        <f>IF(AND(ISNUMBER(L387),L387&gt;0),"Valid","Review")</f>
        <v/>
      </c>
      <c r="P387" s="7">
        <f>IF(OR(E387="",F387="",NOT(ISNUMBER(L387))),"Check Missing/Invalid Data","OK")</f>
        <v/>
      </c>
    </row>
    <row r="388">
      <c r="A388" s="7" t="inlineStr">
        <is>
          <t>PO-00558</t>
        </is>
      </c>
      <c r="B388" s="9" t="n">
        <v>45901</v>
      </c>
      <c r="C388" s="7" t="inlineStr">
        <is>
          <t>Goods Receipt</t>
        </is>
      </c>
      <c r="D388" s="7" t="inlineStr">
        <is>
          <t>SUP008</t>
        </is>
      </c>
      <c r="E388" s="7">
        <f>IF(E388="","Unknown Supplier",TRIM(E388))</f>
        <v/>
      </c>
      <c r="F388" s="7">
        <f>IF(F388="","Unclassified",TRIM(F388))</f>
        <v/>
      </c>
      <c r="G388" s="7" t="inlineStr">
        <is>
          <t>Protective packaging</t>
        </is>
      </c>
      <c r="H388" s="7" t="inlineStr">
        <is>
          <t>Operations</t>
        </is>
      </c>
      <c r="I388" s="7" t="inlineStr">
        <is>
          <t>South</t>
        </is>
      </c>
      <c r="J388" s="7" t="n">
        <v>35</v>
      </c>
      <c r="K388" s="7" t="n">
        <v>279.59</v>
      </c>
      <c r="L388" s="7" t="n">
        <v>9785.639999999999</v>
      </c>
      <c r="M388" s="7" t="inlineStr">
        <is>
          <t>Overdue</t>
        </is>
      </c>
      <c r="N388" s="7">
        <f>IF(OR(E388="Apex Office Supplies",E388="Apex Office Supply Ltd"),"Apex Office Supplies",IF(OR(E388="Northstar IT Services",E388="North Star IT Svc"),"Northstar IT Services",IF(OR(E388="Metro Logistics",E388="Metro Logistics Pvt Ltd"),"Metro Logistics",E388)))</f>
        <v/>
      </c>
      <c r="O388" s="7">
        <f>IF(AND(ISNUMBER(L388),L388&gt;0),"Valid","Review")</f>
        <v/>
      </c>
      <c r="P388" s="7">
        <f>IF(OR(E388="",F388="",NOT(ISNUMBER(L388))),"Check Missing/Invalid Data","OK")</f>
        <v/>
      </c>
    </row>
    <row r="389">
      <c r="A389" s="7" t="inlineStr">
        <is>
          <t>PO-00222</t>
        </is>
      </c>
      <c r="B389" s="9" t="n">
        <v>45903</v>
      </c>
      <c r="C389" s="7" t="inlineStr">
        <is>
          <t>Invoice</t>
        </is>
      </c>
      <c r="D389" s="7" t="inlineStr">
        <is>
          <t>SUP003</t>
        </is>
      </c>
      <c r="E389" s="7">
        <f>IF(E389="","Unknown Supplier",TRIM(E389))</f>
        <v/>
      </c>
      <c r="F389" s="7">
        <f>IF(F389="","Unclassified",TRIM(F389))</f>
        <v/>
      </c>
      <c r="G389" s="7" t="inlineStr">
        <is>
          <t>Software support</t>
        </is>
      </c>
      <c r="H389" s="7" t="inlineStr">
        <is>
          <t>Operations</t>
        </is>
      </c>
      <c r="I389" s="7" t="inlineStr">
        <is>
          <t>North</t>
        </is>
      </c>
      <c r="J389" s="7" t="n">
        <v>100</v>
      </c>
      <c r="K389" s="7" t="n">
        <v>221.25</v>
      </c>
      <c r="L389" s="7" t="n">
        <v>22125.07</v>
      </c>
      <c r="M389" s="7" t="inlineStr">
        <is>
          <t>Overdue</t>
        </is>
      </c>
      <c r="N389" s="7">
        <f>IF(OR(E389="Apex Office Supplies",E389="Apex Office Supply Ltd"),"Apex Office Supplies",IF(OR(E389="Northstar IT Services",E389="North Star IT Svc"),"Northstar IT Services",IF(OR(E389="Metro Logistics",E389="Metro Logistics Pvt Ltd"),"Metro Logistics",E389)))</f>
        <v/>
      </c>
      <c r="O389" s="7">
        <f>IF(AND(ISNUMBER(L389),L389&gt;0),"Valid","Review")</f>
        <v/>
      </c>
      <c r="P389" s="7">
        <f>IF(OR(E389="",F389="",NOT(ISNUMBER(L389))),"Check Missing/Invalid Data","OK")</f>
        <v/>
      </c>
    </row>
    <row r="390">
      <c r="A390" s="7" t="inlineStr">
        <is>
          <t>PO-00083</t>
        </is>
      </c>
      <c r="B390" s="9" t="n">
        <v>45903</v>
      </c>
      <c r="C390" s="7" t="inlineStr">
        <is>
          <t>Invoice</t>
        </is>
      </c>
      <c r="D390" s="7" t="inlineStr">
        <is>
          <t>SUP008</t>
        </is>
      </c>
      <c r="E390" s="7">
        <f>IF(E390="","Unknown Supplier",TRIM(E390))</f>
        <v/>
      </c>
      <c r="F390" s="7">
        <f>IF(F390="","Unclassified",TRIM(F390))</f>
        <v/>
      </c>
      <c r="G390" s="7" t="inlineStr">
        <is>
          <t>Corrugated boxes</t>
        </is>
      </c>
      <c r="H390" s="7" t="inlineStr">
        <is>
          <t>Corporate</t>
        </is>
      </c>
      <c r="I390" s="7" t="inlineStr">
        <is>
          <t>West</t>
        </is>
      </c>
      <c r="J390" s="7" t="n">
        <v>33</v>
      </c>
      <c r="K390" s="7" t="n">
        <v>526.76</v>
      </c>
      <c r="L390" s="7" t="n">
        <v>17383.1</v>
      </c>
      <c r="M390" s="7" t="inlineStr">
        <is>
          <t>Pending</t>
        </is>
      </c>
      <c r="N390" s="7">
        <f>IF(OR(E390="Apex Office Supplies",E390="Apex Office Supply Ltd"),"Apex Office Supplies",IF(OR(E390="Northstar IT Services",E390="North Star IT Svc"),"Northstar IT Services",IF(OR(E390="Metro Logistics",E390="Metro Logistics Pvt Ltd"),"Metro Logistics",E390)))</f>
        <v/>
      </c>
      <c r="O390" s="7">
        <f>IF(AND(ISNUMBER(L390),L390&gt;0),"Valid","Review")</f>
        <v/>
      </c>
      <c r="P390" s="7">
        <f>IF(OR(E390="",F390="",NOT(ISNUMBER(L390))),"Check Missing/Invalid Data","OK")</f>
        <v/>
      </c>
    </row>
    <row r="391">
      <c r="A391" s="7" t="inlineStr">
        <is>
          <t>PO-00386</t>
        </is>
      </c>
      <c r="B391" s="9" t="n">
        <v>45903</v>
      </c>
      <c r="C391" s="7" t="inlineStr">
        <is>
          <t>Invoice</t>
        </is>
      </c>
      <c r="D391" s="7" t="inlineStr">
        <is>
          <t>SUP010</t>
        </is>
      </c>
      <c r="E391" s="7">
        <f>IF(E391="","Unknown Supplier",TRIM(E391))</f>
        <v/>
      </c>
      <c r="F391" s="7">
        <f>IF(F391="","Unclassified",TRIM(F391))</f>
        <v/>
      </c>
      <c r="G391" s="7" t="inlineStr">
        <is>
          <t>Electricity</t>
        </is>
      </c>
      <c r="H391" s="7" t="inlineStr">
        <is>
          <t>Corporate</t>
        </is>
      </c>
      <c r="I391" s="7" t="inlineStr">
        <is>
          <t>East</t>
        </is>
      </c>
      <c r="J391" s="7" t="n">
        <v>21</v>
      </c>
      <c r="K391" s="7" t="n">
        <v>590.78</v>
      </c>
      <c r="L391" s="7" t="n">
        <v>12406.43</v>
      </c>
      <c r="M391" s="7" t="inlineStr">
        <is>
          <t>Paid</t>
        </is>
      </c>
      <c r="N391" s="7">
        <f>IF(OR(E391="Apex Office Supplies",E391="Apex Office Supply Ltd"),"Apex Office Supplies",IF(OR(E391="Northstar IT Services",E391="North Star IT Svc"),"Northstar IT Services",IF(OR(E391="Metro Logistics",E391="Metro Logistics Pvt Ltd"),"Metro Logistics",E391)))</f>
        <v/>
      </c>
      <c r="O391" s="7">
        <f>IF(AND(ISNUMBER(L391),L391&gt;0),"Valid","Review")</f>
        <v/>
      </c>
      <c r="P391" s="7">
        <f>IF(OR(E391="",F391="",NOT(ISNUMBER(L391))),"Check Missing/Invalid Data","OK")</f>
        <v/>
      </c>
    </row>
    <row r="392">
      <c r="A392" s="7" t="inlineStr">
        <is>
          <t>PO-00439</t>
        </is>
      </c>
      <c r="B392" s="9" t="n">
        <v>45904</v>
      </c>
      <c r="C392" s="7" t="inlineStr">
        <is>
          <t>Purchase Order</t>
        </is>
      </c>
      <c r="D392" s="7" t="inlineStr">
        <is>
          <t>SUP006</t>
        </is>
      </c>
      <c r="E392" s="7">
        <f>IF(E392="","Unknown Supplier",TRIM(E392))</f>
        <v/>
      </c>
      <c r="F392" s="7">
        <f>IF(F392="","Unclassified",TRIM(F392))</f>
        <v/>
      </c>
      <c r="G392" s="7" t="inlineStr">
        <is>
          <t>Warehouse handling</t>
        </is>
      </c>
      <c r="H392" s="7" t="inlineStr">
        <is>
          <t>Sales</t>
        </is>
      </c>
      <c r="I392" s="7" t="inlineStr">
        <is>
          <t>South</t>
        </is>
      </c>
      <c r="J392" s="7" t="n">
        <v>12</v>
      </c>
      <c r="K392" s="7" t="n">
        <v>49.29</v>
      </c>
      <c r="L392" s="7" t="n">
        <v>591.53</v>
      </c>
      <c r="M392" s="7" t="inlineStr">
        <is>
          <t>Paid</t>
        </is>
      </c>
      <c r="N392" s="7">
        <f>IF(OR(E392="Apex Office Supplies",E392="Apex Office Supply Ltd"),"Apex Office Supplies",IF(OR(E392="Northstar IT Services",E392="North Star IT Svc"),"Northstar IT Services",IF(OR(E392="Metro Logistics",E392="Metro Logistics Pvt Ltd"),"Metro Logistics",E392)))</f>
        <v/>
      </c>
      <c r="O392" s="7">
        <f>IF(AND(ISNUMBER(L392),L392&gt;0),"Valid","Review")</f>
        <v/>
      </c>
      <c r="P392" s="7">
        <f>IF(OR(E392="",F392="",NOT(ISNUMBER(L392))),"Check Missing/Invalid Data","OK")</f>
        <v/>
      </c>
    </row>
    <row r="393">
      <c r="A393" s="7" t="inlineStr">
        <is>
          <t>PO-00560</t>
        </is>
      </c>
      <c r="B393" s="9" t="n">
        <v>45904</v>
      </c>
      <c r="C393" s="7" t="inlineStr">
        <is>
          <t>Invoice</t>
        </is>
      </c>
      <c r="D393" s="7" t="inlineStr">
        <is>
          <t>SUP009</t>
        </is>
      </c>
      <c r="E393" s="7">
        <f>IF(E393="","Unknown Supplier",TRIM(E393))</f>
        <v/>
      </c>
      <c r="F393" s="7">
        <f>IF(F393="","Unclassified",TRIM(F393))</f>
        <v/>
      </c>
      <c r="G393" s="7" t="inlineStr">
        <is>
          <t>Training services</t>
        </is>
      </c>
      <c r="H393" s="7" t="inlineStr">
        <is>
          <t>Technology</t>
        </is>
      </c>
      <c r="I393" s="7" t="inlineStr">
        <is>
          <t>South</t>
        </is>
      </c>
      <c r="J393" s="7" t="n">
        <v>40</v>
      </c>
      <c r="K393" s="7" t="n">
        <v>73.15000000000001</v>
      </c>
      <c r="L393" s="7" t="n">
        <v>2926.08</v>
      </c>
      <c r="M393" s="7" t="inlineStr">
        <is>
          <t>Pending</t>
        </is>
      </c>
      <c r="N393" s="7">
        <f>IF(OR(E393="Apex Office Supplies",E393="Apex Office Supply Ltd"),"Apex Office Supplies",IF(OR(E393="Northstar IT Services",E393="North Star IT Svc"),"Northstar IT Services",IF(OR(E393="Metro Logistics",E393="Metro Logistics Pvt Ltd"),"Metro Logistics",E393)))</f>
        <v/>
      </c>
      <c r="O393" s="7">
        <f>IF(AND(ISNUMBER(L393),L393&gt;0),"Valid","Review")</f>
        <v/>
      </c>
      <c r="P393" s="7">
        <f>IF(OR(E393="",F393="",NOT(ISNUMBER(L393))),"Check Missing/Invalid Data","OK")</f>
        <v/>
      </c>
    </row>
    <row r="394">
      <c r="A394" s="7" t="inlineStr">
        <is>
          <t>PO-00532</t>
        </is>
      </c>
      <c r="B394" s="9" t="n">
        <v>45905</v>
      </c>
      <c r="C394" s="7" t="inlineStr">
        <is>
          <t>Goods Receipt</t>
        </is>
      </c>
      <c r="D394" s="7" t="inlineStr">
        <is>
          <t>SUP004</t>
        </is>
      </c>
      <c r="E394" s="7">
        <f>IF(E394="","Unknown Supplier",TRIM(E394))</f>
        <v/>
      </c>
      <c r="F394" s="7">
        <f>IF(F394="","Unclassified",TRIM(F394))</f>
        <v/>
      </c>
      <c r="G394" s="7" t="inlineStr">
        <is>
          <t>Cloud services</t>
        </is>
      </c>
      <c r="H394" s="7" t="inlineStr">
        <is>
          <t>Manufacturing</t>
        </is>
      </c>
      <c r="I394" s="7" t="inlineStr">
        <is>
          <t>North</t>
        </is>
      </c>
      <c r="J394" s="7" t="n">
        <v>59</v>
      </c>
      <c r="K394" s="7" t="n">
        <v>498.67</v>
      </c>
      <c r="L394" s="7" t="n">
        <v>29421.81</v>
      </c>
      <c r="M394" s="7" t="inlineStr">
        <is>
          <t>Pending</t>
        </is>
      </c>
      <c r="N394" s="7">
        <f>IF(OR(E394="Apex Office Supplies",E394="Apex Office Supply Ltd"),"Apex Office Supplies",IF(OR(E394="Northstar IT Services",E394="North Star IT Svc"),"Northstar IT Services",IF(OR(E394="Metro Logistics",E394="Metro Logistics Pvt Ltd"),"Metro Logistics",E394)))</f>
        <v/>
      </c>
      <c r="O394" s="7">
        <f>IF(AND(ISNUMBER(L394),L394&gt;0),"Valid","Review")</f>
        <v/>
      </c>
      <c r="P394" s="7">
        <f>IF(OR(E394="",F394="",NOT(ISNUMBER(L394))),"Check Missing/Invalid Data","OK")</f>
        <v/>
      </c>
    </row>
    <row r="395">
      <c r="A395" s="7" t="inlineStr">
        <is>
          <t>PO-00080</t>
        </is>
      </c>
      <c r="B395" s="9" t="n">
        <v>45905</v>
      </c>
      <c r="C395" s="7" t="inlineStr">
        <is>
          <t>Goods Receipt</t>
        </is>
      </c>
      <c r="D395" s="7" t="inlineStr">
        <is>
          <t>SUP005</t>
        </is>
      </c>
      <c r="E395" s="7">
        <f>IF(E395="","Unknown Supplier",TRIM(E395))</f>
        <v/>
      </c>
      <c r="F395" s="7">
        <f>IF(F395="","Unclassified",TRIM(F395))</f>
        <v/>
      </c>
      <c r="G395" s="7" t="inlineStr">
        <is>
          <t>Courier services</t>
        </is>
      </c>
      <c r="H395" s="7" t="inlineStr">
        <is>
          <t>Corporate</t>
        </is>
      </c>
      <c r="I395" s="7" t="inlineStr">
        <is>
          <t>South</t>
        </is>
      </c>
      <c r="J395" s="7" t="n">
        <v>68</v>
      </c>
      <c r="K395" s="7" t="n">
        <v>439.54</v>
      </c>
      <c r="L395" s="7" t="n">
        <v>29888.95</v>
      </c>
      <c r="M395" s="7" t="inlineStr">
        <is>
          <t>Pending</t>
        </is>
      </c>
      <c r="N395" s="7">
        <f>IF(OR(E395="Apex Office Supplies",E395="Apex Office Supply Ltd"),"Apex Office Supplies",IF(OR(E395="Northstar IT Services",E395="North Star IT Svc"),"Northstar IT Services",IF(OR(E395="Metro Logistics",E395="Metro Logistics Pvt Ltd"),"Metro Logistics",E395)))</f>
        <v/>
      </c>
      <c r="O395" s="7">
        <f>IF(AND(ISNUMBER(L395),L395&gt;0),"Valid","Review")</f>
        <v/>
      </c>
      <c r="P395" s="7">
        <f>IF(OR(E395="",F395="",NOT(ISNUMBER(L395))),"Check Missing/Invalid Data","OK")</f>
        <v/>
      </c>
    </row>
    <row r="396">
      <c r="A396" s="7" t="inlineStr">
        <is>
          <t>PO-00460</t>
        </is>
      </c>
      <c r="B396" s="9" t="n">
        <v>45905</v>
      </c>
      <c r="C396" s="7" t="inlineStr">
        <is>
          <t>Goods Receipt</t>
        </is>
      </c>
      <c r="D396" s="7" t="inlineStr">
        <is>
          <t>SUP009</t>
        </is>
      </c>
      <c r="E396" s="7">
        <f>IF(E396="","Unknown Supplier",TRIM(E396))</f>
        <v/>
      </c>
      <c r="F396" s="7">
        <f>IF(F396="","Unclassified",TRIM(F396))</f>
        <v/>
      </c>
      <c r="G396" s="7" t="inlineStr">
        <is>
          <t>Business consulting</t>
        </is>
      </c>
      <c r="H396" s="7" t="inlineStr">
        <is>
          <t>Operations</t>
        </is>
      </c>
      <c r="I396" s="7" t="inlineStr">
        <is>
          <t>North</t>
        </is>
      </c>
      <c r="J396" s="7" t="n">
        <v>89</v>
      </c>
      <c r="K396" s="7" t="n">
        <v>313.14</v>
      </c>
      <c r="L396" s="7" t="n">
        <v>27869.88</v>
      </c>
      <c r="M396" s="7" t="inlineStr">
        <is>
          <t>Pending</t>
        </is>
      </c>
      <c r="N396" s="7">
        <f>IF(OR(E396="Apex Office Supplies",E396="Apex Office Supply Ltd"),"Apex Office Supplies",IF(OR(E396="Northstar IT Services",E396="North Star IT Svc"),"Northstar IT Services",IF(OR(E396="Metro Logistics",E396="Metro Logistics Pvt Ltd"),"Metro Logistics",E396)))</f>
        <v/>
      </c>
      <c r="O396" s="7">
        <f>IF(AND(ISNUMBER(L396),L396&gt;0),"Valid","Review")</f>
        <v/>
      </c>
      <c r="P396" s="7">
        <f>IF(OR(E396="",F396="",NOT(ISNUMBER(L396))),"Check Missing/Invalid Data","OK")</f>
        <v/>
      </c>
    </row>
    <row r="397">
      <c r="A397" s="7" t="inlineStr">
        <is>
          <t>PO-00562</t>
        </is>
      </c>
      <c r="B397" s="9" t="n">
        <v>45909</v>
      </c>
      <c r="C397" s="7" t="inlineStr">
        <is>
          <t>Invoice</t>
        </is>
      </c>
      <c r="D397" s="7" t="inlineStr">
        <is>
          <t>SUP008</t>
        </is>
      </c>
      <c r="E397" s="7">
        <f>IF(E397="","Unknown Supplier",TRIM(E397))</f>
        <v/>
      </c>
      <c r="F397" s="7">
        <f>IF(F397="","Unclassified",TRIM(F397))</f>
        <v/>
      </c>
      <c r="G397" s="7" t="inlineStr">
        <is>
          <t>Labels</t>
        </is>
      </c>
      <c r="H397" s="7" t="inlineStr">
        <is>
          <t>Operations</t>
        </is>
      </c>
      <c r="I397" s="7" t="inlineStr">
        <is>
          <t>North</t>
        </is>
      </c>
      <c r="J397" s="7" t="n">
        <v>103</v>
      </c>
      <c r="K397" s="7" t="n">
        <v>134.11</v>
      </c>
      <c r="L397" s="7" t="n">
        <v>13813.74</v>
      </c>
      <c r="M397" s="7" t="inlineStr">
        <is>
          <t>Overdue</t>
        </is>
      </c>
      <c r="N397" s="7">
        <f>IF(OR(E397="Apex Office Supplies",E397="Apex Office Supply Ltd"),"Apex Office Supplies",IF(OR(E397="Northstar IT Services",E397="North Star IT Svc"),"Northstar IT Services",IF(OR(E397="Metro Logistics",E397="Metro Logistics Pvt Ltd"),"Metro Logistics",E397)))</f>
        <v/>
      </c>
      <c r="O397" s="7">
        <f>IF(AND(ISNUMBER(L397),L397&gt;0),"Valid","Review")</f>
        <v/>
      </c>
      <c r="P397" s="7">
        <f>IF(OR(E397="",F397="",NOT(ISNUMBER(L397))),"Check Missing/Invalid Data","OK")</f>
        <v/>
      </c>
    </row>
    <row r="398">
      <c r="A398" s="7" t="inlineStr">
        <is>
          <t>PO-00376</t>
        </is>
      </c>
      <c r="B398" s="9" t="n">
        <v>45909</v>
      </c>
      <c r="C398" s="7" t="inlineStr">
        <is>
          <t>Purchase Order</t>
        </is>
      </c>
      <c r="D398" s="7" t="inlineStr">
        <is>
          <t>SUP001</t>
        </is>
      </c>
      <c r="E398" s="7">
        <f>IF(E398="","Unknown Supplier",TRIM(E398))</f>
        <v/>
      </c>
      <c r="F398" s="7">
        <f>IF(F398="","Unclassified",TRIM(F398))</f>
        <v/>
      </c>
      <c r="G398" s="7" t="inlineStr">
        <is>
          <t>Toner cartridges</t>
        </is>
      </c>
      <c r="H398" s="7" t="inlineStr">
        <is>
          <t>Sales</t>
        </is>
      </c>
      <c r="I398" s="7" t="inlineStr">
        <is>
          <t>North</t>
        </is>
      </c>
      <c r="J398" s="7" t="n">
        <v>29</v>
      </c>
      <c r="K398" s="7" t="n">
        <v>147.56</v>
      </c>
      <c r="L398" s="7" t="n">
        <v>4279.31</v>
      </c>
      <c r="M398" s="7" t="inlineStr">
        <is>
          <t>Pending</t>
        </is>
      </c>
      <c r="N398" s="7">
        <f>IF(OR(E398="Apex Office Supplies",E398="Apex Office Supply Ltd"),"Apex Office Supplies",IF(OR(E398="Northstar IT Services",E398="North Star IT Svc"),"Northstar IT Services",IF(OR(E398="Metro Logistics",E398="Metro Logistics Pvt Ltd"),"Metro Logistics",E398)))</f>
        <v/>
      </c>
      <c r="O398" s="7">
        <f>IF(AND(ISNUMBER(L398),L398&gt;0),"Valid","Review")</f>
        <v/>
      </c>
      <c r="P398" s="7">
        <f>IF(OR(E398="",F398="",NOT(ISNUMBER(L398))),"Check Missing/Invalid Data","OK")</f>
        <v/>
      </c>
    </row>
    <row r="399">
      <c r="A399" s="7" t="inlineStr">
        <is>
          <t>PO-00288</t>
        </is>
      </c>
      <c r="B399" s="9" t="n">
        <v>45910</v>
      </c>
      <c r="C399" s="7" t="inlineStr">
        <is>
          <t>Invoice</t>
        </is>
      </c>
      <c r="D399" s="7" t="inlineStr">
        <is>
          <t>SUP003</t>
        </is>
      </c>
      <c r="E399" s="7">
        <f>IF(E399="","Unknown Supplier",TRIM(E399))</f>
        <v/>
      </c>
      <c r="F399" s="7">
        <f>IF(F399="","Unclassified",TRIM(F399))</f>
        <v/>
      </c>
      <c r="G399" s="7" t="inlineStr">
        <is>
          <t>Electricity</t>
        </is>
      </c>
      <c r="H399" s="7" t="inlineStr">
        <is>
          <t>Technology</t>
        </is>
      </c>
      <c r="I399" s="7" t="inlineStr">
        <is>
          <t>East</t>
        </is>
      </c>
      <c r="J399" s="7" t="n">
        <v>39</v>
      </c>
      <c r="K399" s="7" t="n">
        <v>129.59</v>
      </c>
      <c r="L399" s="7" t="n">
        <v>5054.2</v>
      </c>
      <c r="M399" s="7" t="inlineStr">
        <is>
          <t>Paid</t>
        </is>
      </c>
      <c r="N399" s="7">
        <f>IF(OR(E399="Apex Office Supplies",E399="Apex Office Supply Ltd"),"Apex Office Supplies",IF(OR(E399="Northstar IT Services",E399="North Star IT Svc"),"Northstar IT Services",IF(OR(E399="Metro Logistics",E399="Metro Logistics Pvt Ltd"),"Metro Logistics",E399)))</f>
        <v/>
      </c>
      <c r="O399" s="7">
        <f>IF(AND(ISNUMBER(L399),L399&gt;0),"Valid","Review")</f>
        <v/>
      </c>
      <c r="P399" s="7">
        <f>IF(OR(E399="",F399="",NOT(ISNUMBER(L399))),"Check Missing/Invalid Data","OK")</f>
        <v/>
      </c>
    </row>
    <row r="400">
      <c r="A400" s="7" t="inlineStr">
        <is>
          <t>PO-00568</t>
        </is>
      </c>
      <c r="B400" s="9" t="n">
        <v>45910</v>
      </c>
      <c r="C400" s="7" t="inlineStr">
        <is>
          <t>Invoice</t>
        </is>
      </c>
      <c r="D400" s="7" t="inlineStr">
        <is>
          <t>SUP004</t>
        </is>
      </c>
      <c r="E400" s="7">
        <f>IF(E400="","Unknown Supplier",TRIM(E400))</f>
        <v/>
      </c>
      <c r="F400" s="7">
        <f>IF(F400="","Unclassified",TRIM(F400))</f>
        <v/>
      </c>
      <c r="G400" s="7" t="inlineStr">
        <is>
          <t>Cloud services</t>
        </is>
      </c>
      <c r="H400" s="7" t="inlineStr">
        <is>
          <t>Sales</t>
        </is>
      </c>
      <c r="I400" s="7" t="inlineStr">
        <is>
          <t>North</t>
        </is>
      </c>
      <c r="J400" s="7" t="n">
        <v>103</v>
      </c>
      <c r="K400" s="7" t="n">
        <v>93.93000000000001</v>
      </c>
      <c r="L400" s="7" t="n">
        <v>9674.68</v>
      </c>
      <c r="M400" s="7" t="inlineStr">
        <is>
          <t>Pending</t>
        </is>
      </c>
      <c r="N400" s="7">
        <f>IF(OR(E400="Apex Office Supplies",E400="Apex Office Supply Ltd"),"Apex Office Supplies",IF(OR(E400="Northstar IT Services",E400="North Star IT Svc"),"Northstar IT Services",IF(OR(E400="Metro Logistics",E400="Metro Logistics Pvt Ltd"),"Metro Logistics",E400)))</f>
        <v/>
      </c>
      <c r="O400" s="7">
        <f>IF(AND(ISNUMBER(L400),L400&gt;0),"Valid","Review")</f>
        <v/>
      </c>
      <c r="P400" s="7">
        <f>IF(OR(E400="",F400="",NOT(ISNUMBER(L400))),"Check Missing/Invalid Data","OK")</f>
        <v/>
      </c>
    </row>
    <row r="401">
      <c r="A401" s="7" t="inlineStr">
        <is>
          <t>PO-00257</t>
        </is>
      </c>
      <c r="B401" s="9" t="n">
        <v>45911</v>
      </c>
      <c r="C401" s="7" t="inlineStr">
        <is>
          <t>Invoice</t>
        </is>
      </c>
      <c r="D401" s="7" t="inlineStr">
        <is>
          <t>SUP001</t>
        </is>
      </c>
      <c r="E401" s="7">
        <f>IF(E401="","Unknown Supplier",TRIM(E401))</f>
        <v/>
      </c>
      <c r="F401" s="7">
        <f>IF(F401="","Unclassified",TRIM(F401))</f>
        <v/>
      </c>
      <c r="G401" s="7" t="inlineStr">
        <is>
          <t>Toner cartridges</t>
        </is>
      </c>
      <c r="H401" s="7" t="inlineStr">
        <is>
          <t>Technology</t>
        </is>
      </c>
      <c r="I401" s="7" t="inlineStr">
        <is>
          <t>West</t>
        </is>
      </c>
      <c r="J401" s="7" t="n">
        <v>86</v>
      </c>
      <c r="K401" s="7" t="n">
        <v>197.16</v>
      </c>
      <c r="L401" s="7" t="n">
        <v>16955.57</v>
      </c>
      <c r="M401" s="7" t="inlineStr">
        <is>
          <t>Pending</t>
        </is>
      </c>
      <c r="N401" s="7">
        <f>IF(OR(E401="Apex Office Supplies",E401="Apex Office Supply Ltd"),"Apex Office Supplies",IF(OR(E401="Northstar IT Services",E401="North Star IT Svc"),"Northstar IT Services",IF(OR(E401="Metro Logistics",E401="Metro Logistics Pvt Ltd"),"Metro Logistics",E401)))</f>
        <v/>
      </c>
      <c r="O401" s="7">
        <f>IF(AND(ISNUMBER(L401),L401&gt;0),"Valid","Review")</f>
        <v/>
      </c>
      <c r="P401" s="7">
        <f>IF(OR(E401="",F401="",NOT(ISNUMBER(L401))),"Check Missing/Invalid Data","OK")</f>
        <v/>
      </c>
    </row>
    <row r="402">
      <c r="A402" s="7" t="inlineStr">
        <is>
          <t>PO-00152</t>
        </is>
      </c>
      <c r="B402" s="9" t="n">
        <v>45912</v>
      </c>
      <c r="C402" s="7" t="inlineStr">
        <is>
          <t>Goods Receipt</t>
        </is>
      </c>
      <c r="D402" s="7" t="inlineStr">
        <is>
          <t>SUP012</t>
        </is>
      </c>
      <c r="E402" s="7">
        <f>IF(E402="","Unknown Supplier",TRIM(E402))</f>
        <v/>
      </c>
      <c r="F402" s="7">
        <f>IF(F402="","Unclassified",TRIM(F402))</f>
        <v/>
      </c>
      <c r="G402" s="7" t="inlineStr">
        <is>
          <t>Repair parts</t>
        </is>
      </c>
      <c r="H402" s="7" t="inlineStr">
        <is>
          <t>Manufacturing</t>
        </is>
      </c>
      <c r="I402" s="7" t="inlineStr">
        <is>
          <t>East</t>
        </is>
      </c>
      <c r="J402" s="7" t="n">
        <v>69</v>
      </c>
      <c r="K402" s="7" t="n">
        <v>35.22</v>
      </c>
      <c r="L402" s="7" t="n">
        <v>2429.84</v>
      </c>
      <c r="M402" s="7" t="inlineStr">
        <is>
          <t>Paid</t>
        </is>
      </c>
      <c r="N402" s="7">
        <f>IF(OR(E402="Apex Office Supplies",E402="Apex Office Supply Ltd"),"Apex Office Supplies",IF(OR(E402="Northstar IT Services",E402="North Star IT Svc"),"Northstar IT Services",IF(OR(E402="Metro Logistics",E402="Metro Logistics Pvt Ltd"),"Metro Logistics",E402)))</f>
        <v/>
      </c>
      <c r="O402" s="7">
        <f>IF(AND(ISNUMBER(L402),L402&gt;0),"Valid","Review")</f>
        <v/>
      </c>
      <c r="P402" s="7">
        <f>IF(OR(E402="",F402="",NOT(ISNUMBER(L402))),"Check Missing/Invalid Data","OK")</f>
        <v/>
      </c>
    </row>
    <row r="403">
      <c r="A403" s="7" t="inlineStr">
        <is>
          <t>PO-00180</t>
        </is>
      </c>
      <c r="B403" s="9" t="n">
        <v>45913</v>
      </c>
      <c r="C403" s="7" t="inlineStr">
        <is>
          <t>Purchase Order</t>
        </is>
      </c>
      <c r="D403" s="7" t="inlineStr">
        <is>
          <t>SUP010</t>
        </is>
      </c>
      <c r="E403" s="7">
        <f>IF(E403="","Unknown Supplier",TRIM(E403))</f>
        <v/>
      </c>
      <c r="F403" s="7">
        <f>IF(F403="","Unclassified",TRIM(F403))</f>
        <v/>
      </c>
      <c r="G403" s="7" t="inlineStr">
        <is>
          <t>Natural gas</t>
        </is>
      </c>
      <c r="H403" s="7" t="inlineStr">
        <is>
          <t>Operations</t>
        </is>
      </c>
      <c r="I403" s="7" t="inlineStr">
        <is>
          <t>East</t>
        </is>
      </c>
      <c r="J403" s="7" t="n">
        <v>74</v>
      </c>
      <c r="K403" s="7" t="n">
        <v>154.32</v>
      </c>
      <c r="L403" s="7" t="n">
        <v>11419.35</v>
      </c>
      <c r="M403" s="7" t="inlineStr">
        <is>
          <t>Pending</t>
        </is>
      </c>
      <c r="N403" s="7">
        <f>IF(OR(E403="Apex Office Supplies",E403="Apex Office Supply Ltd"),"Apex Office Supplies",IF(OR(E403="Northstar IT Services",E403="North Star IT Svc"),"Northstar IT Services",IF(OR(E403="Metro Logistics",E403="Metro Logistics Pvt Ltd"),"Metro Logistics",E403)))</f>
        <v/>
      </c>
      <c r="O403" s="7">
        <f>IF(AND(ISNUMBER(L403),L403&gt;0),"Valid","Review")</f>
        <v/>
      </c>
      <c r="P403" s="7">
        <f>IF(OR(E403="",F403="",NOT(ISNUMBER(L403))),"Check Missing/Invalid Data","OK")</f>
        <v/>
      </c>
    </row>
    <row r="404">
      <c r="A404" s="7" t="inlineStr">
        <is>
          <t>PO-00011</t>
        </is>
      </c>
      <c r="B404" s="9" t="n">
        <v>45913</v>
      </c>
      <c r="C404" s="7" t="inlineStr">
        <is>
          <t>Invoice</t>
        </is>
      </c>
      <c r="D404" s="7" t="inlineStr">
        <is>
          <t>SUP007</t>
        </is>
      </c>
      <c r="E404" s="7">
        <f>IF(E404="","Unknown Supplier",TRIM(E404))</f>
        <v/>
      </c>
      <c r="F404" s="7">
        <f>IF(F404="","Unclassified",TRIM(F404))</f>
        <v/>
      </c>
      <c r="G404" s="7" t="inlineStr">
        <is>
          <t>Cleaning services</t>
        </is>
      </c>
      <c r="H404" s="7" t="inlineStr">
        <is>
          <t>Operations</t>
        </is>
      </c>
      <c r="I404" s="7" t="inlineStr">
        <is>
          <t>East</t>
        </is>
      </c>
      <c r="J404" s="7" t="n">
        <v>19</v>
      </c>
      <c r="K404" s="7" t="n">
        <v>611.27</v>
      </c>
      <c r="L404" s="7" t="n">
        <v>11614.19</v>
      </c>
      <c r="M404" s="7" t="inlineStr">
        <is>
          <t>Overdue</t>
        </is>
      </c>
      <c r="N404" s="7">
        <f>IF(OR(E404="Apex Office Supplies",E404="Apex Office Supply Ltd"),"Apex Office Supplies",IF(OR(E404="Northstar IT Services",E404="North Star IT Svc"),"Northstar IT Services",IF(OR(E404="Metro Logistics",E404="Metro Logistics Pvt Ltd"),"Metro Logistics",E404)))</f>
        <v/>
      </c>
      <c r="O404" s="7">
        <f>IF(AND(ISNUMBER(L404),L404&gt;0),"Valid","Review")</f>
        <v/>
      </c>
      <c r="P404" s="7">
        <f>IF(OR(E404="",F404="",NOT(ISNUMBER(L404))),"Check Missing/Invalid Data","OK")</f>
        <v/>
      </c>
    </row>
    <row r="405">
      <c r="A405" s="7" t="inlineStr">
        <is>
          <t>PO-00241</t>
        </is>
      </c>
      <c r="B405" s="9" t="n">
        <v>45915</v>
      </c>
      <c r="C405" s="7" t="inlineStr">
        <is>
          <t>Invoice</t>
        </is>
      </c>
      <c r="D405" s="7" t="inlineStr">
        <is>
          <t>SUP012</t>
        </is>
      </c>
      <c r="E405" s="7">
        <f>IF(E405="","Unknown Supplier",TRIM(E405))</f>
        <v/>
      </c>
      <c r="F405" s="7">
        <f>IF(F405="","Unclassified",TRIM(F405))</f>
        <v/>
      </c>
      <c r="G405" s="7" t="inlineStr">
        <is>
          <t>Equipment servicing</t>
        </is>
      </c>
      <c r="H405" s="7" t="inlineStr">
        <is>
          <t>Manufacturing</t>
        </is>
      </c>
      <c r="I405" s="7" t="inlineStr">
        <is>
          <t>South</t>
        </is>
      </c>
      <c r="J405" s="7" t="n">
        <v>82</v>
      </c>
      <c r="K405" s="7" t="n">
        <v>151.98</v>
      </c>
      <c r="L405" s="7" t="n">
        <v>12462.39</v>
      </c>
      <c r="M405" s="7" t="inlineStr">
        <is>
          <t>Paid</t>
        </is>
      </c>
      <c r="N405" s="7">
        <f>IF(OR(E405="Apex Office Supplies",E405="Apex Office Supply Ltd"),"Apex Office Supplies",IF(OR(E405="Northstar IT Services",E405="North Star IT Svc"),"Northstar IT Services",IF(OR(E405="Metro Logistics",E405="Metro Logistics Pvt Ltd"),"Metro Logistics",E405)))</f>
        <v/>
      </c>
      <c r="O405" s="7">
        <f>IF(AND(ISNUMBER(L405),L405&gt;0),"Valid","Review")</f>
        <v/>
      </c>
      <c r="P405" s="7">
        <f>IF(OR(E405="",F405="",NOT(ISNUMBER(L405))),"Check Missing/Invalid Data","OK")</f>
        <v/>
      </c>
    </row>
    <row r="406">
      <c r="A406" s="7" t="inlineStr">
        <is>
          <t>PO-00500</t>
        </is>
      </c>
      <c r="B406" s="9" t="n">
        <v>45915</v>
      </c>
      <c r="C406" s="7" t="inlineStr">
        <is>
          <t>Goods Receipt</t>
        </is>
      </c>
      <c r="D406" s="7" t="inlineStr">
        <is>
          <t>SUP001</t>
        </is>
      </c>
      <c r="E406" s="7">
        <f>IF(E406="","Unknown Supplier",TRIM(E406))</f>
        <v/>
      </c>
      <c r="F406" s="7">
        <f>IF(F406="","Unclassified",TRIM(F406))</f>
        <v/>
      </c>
      <c r="G406" s="7" t="inlineStr">
        <is>
          <t>Toner cartridges</t>
        </is>
      </c>
      <c r="H406" s="7" t="inlineStr">
        <is>
          <t>Operations</t>
        </is>
      </c>
      <c r="I406" s="7" t="inlineStr">
        <is>
          <t>South</t>
        </is>
      </c>
      <c r="J406" s="7" t="n">
        <v>104</v>
      </c>
      <c r="K406" s="7" t="n">
        <v>146.94</v>
      </c>
      <c r="L406" s="7" t="n">
        <v>15281.92</v>
      </c>
      <c r="M406" s="7" t="inlineStr">
        <is>
          <t>Pending</t>
        </is>
      </c>
      <c r="N406" s="7">
        <f>IF(OR(E406="Apex Office Supplies",E406="Apex Office Supply Ltd"),"Apex Office Supplies",IF(OR(E406="Northstar IT Services",E406="North Star IT Svc"),"Northstar IT Services",IF(OR(E406="Metro Logistics",E406="Metro Logistics Pvt Ltd"),"Metro Logistics",E406)))</f>
        <v/>
      </c>
      <c r="O406" s="7">
        <f>IF(AND(ISNUMBER(L406),L406&gt;0),"Valid","Review")</f>
        <v/>
      </c>
      <c r="P406" s="7">
        <f>IF(OR(E406="",F406="",NOT(ISNUMBER(L406))),"Check Missing/Invalid Data","OK")</f>
        <v/>
      </c>
    </row>
    <row r="407">
      <c r="A407" s="7" t="inlineStr">
        <is>
          <t>PO-00272</t>
        </is>
      </c>
      <c r="B407" s="9" t="n">
        <v>45915</v>
      </c>
      <c r="C407" s="7" t="inlineStr">
        <is>
          <t>Purchase Order</t>
        </is>
      </c>
      <c r="D407" s="7" t="inlineStr">
        <is>
          <t>SUP012</t>
        </is>
      </c>
      <c r="E407" s="7">
        <f>IF(E407="","Unknown Supplier",TRIM(E407))</f>
        <v/>
      </c>
      <c r="F407" s="7">
        <f>IF(F407="","Unclassified",TRIM(F407))</f>
        <v/>
      </c>
      <c r="G407" s="7" t="inlineStr">
        <is>
          <t>Repair parts</t>
        </is>
      </c>
      <c r="H407" s="7" t="inlineStr">
        <is>
          <t>Corporate</t>
        </is>
      </c>
      <c r="I407" s="7" t="inlineStr">
        <is>
          <t>South</t>
        </is>
      </c>
      <c r="J407" s="7" t="n">
        <v>117</v>
      </c>
      <c r="K407" s="7" t="n">
        <v>124.22</v>
      </c>
      <c r="L407" s="7" t="n">
        <v>14534.28</v>
      </c>
      <c r="M407" s="7" t="inlineStr">
        <is>
          <t>Paid</t>
        </is>
      </c>
      <c r="N407" s="7">
        <f>IF(OR(E407="Apex Office Supplies",E407="Apex Office Supply Ltd"),"Apex Office Supplies",IF(OR(E407="Northstar IT Services",E407="North Star IT Svc"),"Northstar IT Services",IF(OR(E407="Metro Logistics",E407="Metro Logistics Pvt Ltd"),"Metro Logistics",E407)))</f>
        <v/>
      </c>
      <c r="O407" s="7">
        <f>IF(AND(ISNUMBER(L407),L407&gt;0),"Valid","Review")</f>
        <v/>
      </c>
      <c r="P407" s="7">
        <f>IF(OR(E407="",F407="",NOT(ISNUMBER(L407))),"Check Missing/Invalid Data","OK")</f>
        <v/>
      </c>
    </row>
    <row r="408">
      <c r="A408" s="7" t="inlineStr">
        <is>
          <t>PO-00236</t>
        </is>
      </c>
      <c r="B408" s="9" t="n">
        <v>45916</v>
      </c>
      <c r="C408" s="7" t="inlineStr">
        <is>
          <t>Purchase Order</t>
        </is>
      </c>
      <c r="D408" s="7" t="inlineStr">
        <is>
          <t>SUP008</t>
        </is>
      </c>
      <c r="E408" s="7">
        <f>IF(E408="","Unknown Supplier",TRIM(E408))</f>
        <v/>
      </c>
      <c r="F408" s="7">
        <f>IF(F408="","Unclassified",TRIM(F408))</f>
        <v/>
      </c>
      <c r="G408" s="7" t="inlineStr">
        <is>
          <t>Labels</t>
        </is>
      </c>
      <c r="H408" s="7" t="inlineStr">
        <is>
          <t>Sales</t>
        </is>
      </c>
      <c r="I408" s="7" t="inlineStr">
        <is>
          <t>East</t>
        </is>
      </c>
      <c r="J408" s="7" t="n">
        <v>43</v>
      </c>
      <c r="K408" s="7" t="n">
        <v>339.11</v>
      </c>
      <c r="L408" s="7" t="n">
        <v>14581.59</v>
      </c>
      <c r="M408" s="7" t="inlineStr">
        <is>
          <t>Overdue</t>
        </is>
      </c>
      <c r="N408" s="7">
        <f>IF(OR(E408="Apex Office Supplies",E408="Apex Office Supply Ltd"),"Apex Office Supplies",IF(OR(E408="Northstar IT Services",E408="North Star IT Svc"),"Northstar IT Services",IF(OR(E408="Metro Logistics",E408="Metro Logistics Pvt Ltd"),"Metro Logistics",E408)))</f>
        <v/>
      </c>
      <c r="O408" s="7">
        <f>IF(AND(ISNUMBER(L408),L408&gt;0),"Valid","Review")</f>
        <v/>
      </c>
      <c r="P408" s="7">
        <f>IF(OR(E408="",F408="",NOT(ISNUMBER(L408))),"Check Missing/Invalid Data","OK")</f>
        <v/>
      </c>
    </row>
    <row r="409">
      <c r="A409" s="7" t="inlineStr">
        <is>
          <t>PO-00213</t>
        </is>
      </c>
      <c r="B409" s="9" t="n">
        <v>45916</v>
      </c>
      <c r="C409" s="7" t="inlineStr">
        <is>
          <t>Purchase Order</t>
        </is>
      </c>
      <c r="D409" s="7" t="inlineStr">
        <is>
          <t>SUP008</t>
        </is>
      </c>
      <c r="E409" s="7">
        <f>IF(E409="","Unknown Supplier",TRIM(E409))</f>
        <v/>
      </c>
      <c r="F409" s="7">
        <f>IF(F409="","Unclassified",TRIM(F409))</f>
        <v/>
      </c>
      <c r="G409" s="7" t="inlineStr">
        <is>
          <t>Corrugated boxes</t>
        </is>
      </c>
      <c r="H409" s="7" t="inlineStr">
        <is>
          <t>Technology</t>
        </is>
      </c>
      <c r="I409" s="7" t="inlineStr">
        <is>
          <t>West</t>
        </is>
      </c>
      <c r="J409" s="7" t="n">
        <v>46</v>
      </c>
      <c r="K409" s="7" t="n">
        <v>86.23</v>
      </c>
      <c r="L409" s="7" t="n">
        <v>3966.78</v>
      </c>
      <c r="M409" s="7" t="inlineStr">
        <is>
          <t>Overdue</t>
        </is>
      </c>
      <c r="N409" s="7">
        <f>IF(OR(E409="Apex Office Supplies",E409="Apex Office Supply Ltd"),"Apex Office Supplies",IF(OR(E409="Northstar IT Services",E409="North Star IT Svc"),"Northstar IT Services",IF(OR(E409="Metro Logistics",E409="Metro Logistics Pvt Ltd"),"Metro Logistics",E409)))</f>
        <v/>
      </c>
      <c r="O409" s="7">
        <f>IF(AND(ISNUMBER(L409),L409&gt;0),"Valid","Review")</f>
        <v/>
      </c>
      <c r="P409" s="7">
        <f>IF(OR(E409="",F409="",NOT(ISNUMBER(L409))),"Check Missing/Invalid Data","OK")</f>
        <v/>
      </c>
    </row>
    <row r="410">
      <c r="A410" s="7" t="inlineStr">
        <is>
          <t>PO-00160</t>
        </is>
      </c>
      <c r="B410" s="9" t="n">
        <v>45917</v>
      </c>
      <c r="C410" s="7" t="inlineStr">
        <is>
          <t>Invoice</t>
        </is>
      </c>
      <c r="D410" s="7" t="inlineStr">
        <is>
          <t>SUP002</t>
        </is>
      </c>
      <c r="E410" s="7">
        <f>IF(E410="","Unknown Supplier",TRIM(E410))</f>
        <v/>
      </c>
      <c r="F410" s="7">
        <f>IF(F410="","Unclassified",TRIM(F410))</f>
        <v/>
      </c>
      <c r="G410" s="7" t="inlineStr">
        <is>
          <t>Pens and stationery</t>
        </is>
      </c>
      <c r="H410" s="7" t="inlineStr">
        <is>
          <t>Corporate</t>
        </is>
      </c>
      <c r="I410" s="7" t="inlineStr">
        <is>
          <t>North</t>
        </is>
      </c>
      <c r="J410" s="7" t="n">
        <v>8</v>
      </c>
      <c r="K410" s="7" t="n">
        <v>1025.03</v>
      </c>
      <c r="L410" s="7" t="n">
        <v>8200.219999999999</v>
      </c>
      <c r="M410" s="7" t="inlineStr">
        <is>
          <t>Overdue</t>
        </is>
      </c>
      <c r="N410" s="7">
        <f>IF(OR(E410="Apex Office Supplies",E410="Apex Office Supply Ltd"),"Apex Office Supplies",IF(OR(E410="Northstar IT Services",E410="North Star IT Svc"),"Northstar IT Services",IF(OR(E410="Metro Logistics",E410="Metro Logistics Pvt Ltd"),"Metro Logistics",E410)))</f>
        <v/>
      </c>
      <c r="O410" s="7">
        <f>IF(AND(ISNUMBER(L410),L410&gt;0),"Valid","Review")</f>
        <v/>
      </c>
      <c r="P410" s="7">
        <f>IF(OR(E410="",F410="",NOT(ISNUMBER(L410))),"Check Missing/Invalid Data","OK")</f>
        <v/>
      </c>
    </row>
    <row r="411">
      <c r="A411" s="7" t="inlineStr">
        <is>
          <t>PO-00440</t>
        </is>
      </c>
      <c r="B411" s="9" t="n">
        <v>45919</v>
      </c>
      <c r="C411" s="7" t="inlineStr">
        <is>
          <t>Goods Receipt</t>
        </is>
      </c>
      <c r="D411" s="7" t="inlineStr">
        <is>
          <t>SUP002</t>
        </is>
      </c>
      <c r="E411" s="7">
        <f>IF(E411="","Unknown Supplier",TRIM(E411))</f>
        <v/>
      </c>
      <c r="F411" s="7">
        <f>IF(F411="","Unclassified",TRIM(F411))</f>
        <v/>
      </c>
      <c r="G411" s="7" t="inlineStr">
        <is>
          <t>Printer paper</t>
        </is>
      </c>
      <c r="H411" s="7" t="inlineStr">
        <is>
          <t>Sales</t>
        </is>
      </c>
      <c r="I411" s="7" t="inlineStr">
        <is>
          <t>East</t>
        </is>
      </c>
      <c r="J411" s="7" t="n">
        <v>33</v>
      </c>
      <c r="K411" s="7" t="n">
        <v>58.52</v>
      </c>
      <c r="L411" s="7" t="n">
        <v>1931.07</v>
      </c>
      <c r="M411" s="7" t="inlineStr">
        <is>
          <t>Pending</t>
        </is>
      </c>
      <c r="N411" s="7">
        <f>IF(OR(E411="Apex Office Supplies",E411="Apex Office Supply Ltd"),"Apex Office Supplies",IF(OR(E411="Northstar IT Services",E411="North Star IT Svc"),"Northstar IT Services",IF(OR(E411="Metro Logistics",E411="Metro Logistics Pvt Ltd"),"Metro Logistics",E411)))</f>
        <v/>
      </c>
      <c r="O411" s="7">
        <f>IF(AND(ISNUMBER(L411),L411&gt;0),"Valid","Review")</f>
        <v/>
      </c>
      <c r="P411" s="7">
        <f>IF(OR(E411="",F411="",NOT(ISNUMBER(L411))),"Check Missing/Invalid Data","OK")</f>
        <v/>
      </c>
    </row>
    <row r="412">
      <c r="A412" s="7" t="inlineStr">
        <is>
          <t>PO-00342</t>
        </is>
      </c>
      <c r="B412" s="9" t="n">
        <v>45919</v>
      </c>
      <c r="C412" s="7" t="inlineStr">
        <is>
          <t>Invoice</t>
        </is>
      </c>
      <c r="D412" s="7" t="inlineStr">
        <is>
          <t>SUP004</t>
        </is>
      </c>
      <c r="E412" s="7">
        <f>IF(E412="","Unknown Supplier",TRIM(E412))</f>
        <v/>
      </c>
      <c r="F412" s="7">
        <f>IF(F412="","Unclassified",TRIM(F412))</f>
        <v/>
      </c>
      <c r="G412" s="7" t="inlineStr">
        <is>
          <t>IT consulting</t>
        </is>
      </c>
      <c r="H412" s="7" t="inlineStr">
        <is>
          <t>Corporate</t>
        </is>
      </c>
      <c r="I412" s="7" t="inlineStr">
        <is>
          <t>East</t>
        </is>
      </c>
      <c r="J412" s="7" t="n">
        <v>42</v>
      </c>
      <c r="K412" s="7" t="n">
        <v>117.31</v>
      </c>
      <c r="L412" s="7" t="n">
        <v>4926.84</v>
      </c>
      <c r="M412" s="7" t="inlineStr">
        <is>
          <t>Overdue</t>
        </is>
      </c>
      <c r="N412" s="7">
        <f>IF(OR(E412="Apex Office Supplies",E412="Apex Office Supply Ltd"),"Apex Office Supplies",IF(OR(E412="Northstar IT Services",E412="North Star IT Svc"),"Northstar IT Services",IF(OR(E412="Metro Logistics",E412="Metro Logistics Pvt Ltd"),"Metro Logistics",E412)))</f>
        <v/>
      </c>
      <c r="O412" s="7">
        <f>IF(AND(ISNUMBER(L412),L412&gt;0),"Valid","Review")</f>
        <v/>
      </c>
      <c r="P412" s="7">
        <f>IF(OR(E412="",F412="",NOT(ISNUMBER(L412))),"Check Missing/Invalid Data","OK")</f>
        <v/>
      </c>
    </row>
    <row r="413">
      <c r="A413" s="7" t="inlineStr">
        <is>
          <t>PO-00469</t>
        </is>
      </c>
      <c r="B413" s="9" t="n">
        <v>45919</v>
      </c>
      <c r="C413" s="7" t="inlineStr">
        <is>
          <t>Invoice</t>
        </is>
      </c>
      <c r="D413" s="7" t="inlineStr">
        <is>
          <t>SUP012</t>
        </is>
      </c>
      <c r="E413" s="7">
        <f>IF(E413="","Unknown Supplier",TRIM(E413))</f>
        <v/>
      </c>
      <c r="F413" s="7">
        <f>IF(F413="","Unclassified",TRIM(F413))</f>
        <v/>
      </c>
      <c r="G413" s="7" t="inlineStr">
        <is>
          <t>Equipment servicing</t>
        </is>
      </c>
      <c r="H413" s="7" t="inlineStr">
        <is>
          <t>Sales</t>
        </is>
      </c>
      <c r="I413" s="7" t="inlineStr">
        <is>
          <t>East</t>
        </is>
      </c>
      <c r="J413" s="7" t="n">
        <v>119</v>
      </c>
      <c r="K413" s="7" t="n">
        <v>100.85</v>
      </c>
      <c r="L413" s="7" t="n">
        <v>12001.15</v>
      </c>
      <c r="M413" s="7" t="inlineStr">
        <is>
          <t>Overdue</t>
        </is>
      </c>
      <c r="N413" s="7">
        <f>IF(OR(E413="Apex Office Supplies",E413="Apex Office Supply Ltd"),"Apex Office Supplies",IF(OR(E413="Northstar IT Services",E413="North Star IT Svc"),"Northstar IT Services",IF(OR(E413="Metro Logistics",E413="Metro Logistics Pvt Ltd"),"Metro Logistics",E413)))</f>
        <v/>
      </c>
      <c r="O413" s="7">
        <f>IF(AND(ISNUMBER(L413),L413&gt;0),"Valid","Review")</f>
        <v/>
      </c>
      <c r="P413" s="7">
        <f>IF(OR(E413="",F413="",NOT(ISNUMBER(L413))),"Check Missing/Invalid Data","OK")</f>
        <v/>
      </c>
    </row>
    <row r="414">
      <c r="A414" s="7" t="inlineStr">
        <is>
          <t>PO-00135</t>
        </is>
      </c>
      <c r="B414" s="9" t="n">
        <v>45920</v>
      </c>
      <c r="C414" s="7" t="inlineStr">
        <is>
          <t>Purchase Order</t>
        </is>
      </c>
      <c r="D414" s="7" t="inlineStr">
        <is>
          <t>SUP010</t>
        </is>
      </c>
      <c r="E414" s="7">
        <f>IF(E414="","Unknown Supplier",TRIM(E414))</f>
        <v/>
      </c>
      <c r="F414" s="7">
        <f>IF(F414="","Unclassified",TRIM(F414))</f>
        <v/>
      </c>
      <c r="G414" s="7" t="inlineStr">
        <is>
          <t>Natural gas</t>
        </is>
      </c>
      <c r="H414" s="7" t="inlineStr">
        <is>
          <t>Manufacturing</t>
        </is>
      </c>
      <c r="I414" s="7" t="inlineStr">
        <is>
          <t>East</t>
        </is>
      </c>
      <c r="J414" s="7" t="n">
        <v>79</v>
      </c>
      <c r="K414" s="7" t="n">
        <v>115.55</v>
      </c>
      <c r="L414" s="7" t="n">
        <v>9128.639999999999</v>
      </c>
      <c r="M414" s="7" t="inlineStr">
        <is>
          <t>Pending</t>
        </is>
      </c>
      <c r="N414" s="7">
        <f>IF(OR(E414="Apex Office Supplies",E414="Apex Office Supply Ltd"),"Apex Office Supplies",IF(OR(E414="Northstar IT Services",E414="North Star IT Svc"),"Northstar IT Services",IF(OR(E414="Metro Logistics",E414="Metro Logistics Pvt Ltd"),"Metro Logistics",E414)))</f>
        <v/>
      </c>
      <c r="O414" s="7">
        <f>IF(AND(ISNUMBER(L414),L414&gt;0),"Valid","Review")</f>
        <v/>
      </c>
      <c r="P414" s="7">
        <f>IF(OR(E414="",F414="",NOT(ISNUMBER(L414))),"Check Missing/Invalid Data","OK")</f>
        <v/>
      </c>
    </row>
    <row r="415">
      <c r="A415" s="7" t="inlineStr">
        <is>
          <t>PO-00186</t>
        </is>
      </c>
      <c r="B415" s="9" t="n">
        <v>45921</v>
      </c>
      <c r="C415" s="7" t="inlineStr">
        <is>
          <t>Purchase Order</t>
        </is>
      </c>
      <c r="D415" s="7" t="inlineStr">
        <is>
          <t>SUP007</t>
        </is>
      </c>
      <c r="E415" s="7">
        <f>IF(E415="","Unknown Supplier",TRIM(E415))</f>
        <v/>
      </c>
      <c r="F415" s="7">
        <f>IF(F415="","Unclassified",TRIM(F415))</f>
        <v/>
      </c>
      <c r="G415" s="7" t="inlineStr">
        <is>
          <t>Security services</t>
        </is>
      </c>
      <c r="H415" s="7" t="inlineStr">
        <is>
          <t>Operations</t>
        </is>
      </c>
      <c r="I415" s="7" t="inlineStr">
        <is>
          <t>East</t>
        </is>
      </c>
      <c r="J415" s="7" t="n">
        <v>33</v>
      </c>
      <c r="K415" s="7" t="n">
        <v>297.86</v>
      </c>
      <c r="L415" s="7" t="n">
        <v>9829.389999999999</v>
      </c>
      <c r="M415" s="7" t="inlineStr">
        <is>
          <t>Pending</t>
        </is>
      </c>
      <c r="N415" s="7">
        <f>IF(OR(E415="Apex Office Supplies",E415="Apex Office Supply Ltd"),"Apex Office Supplies",IF(OR(E415="Northstar IT Services",E415="North Star IT Svc"),"Northstar IT Services",IF(OR(E415="Metro Logistics",E415="Metro Logistics Pvt Ltd"),"Metro Logistics",E415)))</f>
        <v/>
      </c>
      <c r="O415" s="7">
        <f>IF(AND(ISNUMBER(L415),L415&gt;0),"Valid","Review")</f>
        <v/>
      </c>
      <c r="P415" s="7">
        <f>IF(OR(E415="",F415="",NOT(ISNUMBER(L415))),"Check Missing/Invalid Data","OK")</f>
        <v/>
      </c>
    </row>
    <row r="416">
      <c r="A416" s="7" t="inlineStr">
        <is>
          <t>PO-00238</t>
        </is>
      </c>
      <c r="B416" s="9" t="n">
        <v>45921</v>
      </c>
      <c r="C416" s="7" t="inlineStr">
        <is>
          <t>Purchase Order</t>
        </is>
      </c>
      <c r="D416" s="7" t="inlineStr">
        <is>
          <t>SUP006</t>
        </is>
      </c>
      <c r="E416" s="7">
        <f>IF(E416="","Unknown Supplier",TRIM(E416))</f>
        <v/>
      </c>
      <c r="F416" s="7">
        <f>IF(F416="","Unclassified",TRIM(F416))</f>
        <v/>
      </c>
      <c r="G416" s="7" t="inlineStr">
        <is>
          <t>Courier services</t>
        </is>
      </c>
      <c r="H416" s="7" t="inlineStr">
        <is>
          <t>Technology</t>
        </is>
      </c>
      <c r="I416" s="7" t="inlineStr">
        <is>
          <t>South</t>
        </is>
      </c>
      <c r="J416" s="7" t="n">
        <v>24</v>
      </c>
      <c r="K416" s="7" t="n">
        <v>856.11</v>
      </c>
      <c r="L416" s="7" t="n">
        <v>20546.7</v>
      </c>
      <c r="M416" s="7" t="inlineStr">
        <is>
          <t>Paid</t>
        </is>
      </c>
      <c r="N416" s="7">
        <f>IF(OR(E416="Apex Office Supplies",E416="Apex Office Supply Ltd"),"Apex Office Supplies",IF(OR(E416="Northstar IT Services",E416="North Star IT Svc"),"Northstar IT Services",IF(OR(E416="Metro Logistics",E416="Metro Logistics Pvt Ltd"),"Metro Logistics",E416)))</f>
        <v/>
      </c>
      <c r="O416" s="7">
        <f>IF(AND(ISNUMBER(L416),L416&gt;0),"Valid","Review")</f>
        <v/>
      </c>
      <c r="P416" s="7">
        <f>IF(OR(E416="",F416="",NOT(ISNUMBER(L416))),"Check Missing/Invalid Data","OK")</f>
        <v/>
      </c>
    </row>
    <row r="417">
      <c r="A417" s="7" t="inlineStr">
        <is>
          <t>PO-00210</t>
        </is>
      </c>
      <c r="B417" s="9" t="n">
        <v>45921</v>
      </c>
      <c r="C417" s="7" t="inlineStr">
        <is>
          <t>Invoice</t>
        </is>
      </c>
      <c r="D417" s="7" t="inlineStr">
        <is>
          <t>SUP009</t>
        </is>
      </c>
      <c r="E417" s="7">
        <f>IF(E417="","Unknown Supplier",TRIM(E417))</f>
        <v/>
      </c>
      <c r="F417" s="7">
        <f>IF(F417="","Unclassified",TRIM(F417))</f>
        <v/>
      </c>
      <c r="G417" s="7" t="inlineStr">
        <is>
          <t>Training services</t>
        </is>
      </c>
      <c r="H417" s="7" t="inlineStr">
        <is>
          <t>Operations</t>
        </is>
      </c>
      <c r="I417" s="7" t="inlineStr">
        <is>
          <t>South</t>
        </is>
      </c>
      <c r="J417" s="7" t="n">
        <v>16</v>
      </c>
      <c r="K417" s="7" t="n">
        <v>471.99</v>
      </c>
      <c r="L417" s="7" t="n">
        <v>7551.86</v>
      </c>
      <c r="M417" s="7" t="inlineStr">
        <is>
          <t>Paid</t>
        </is>
      </c>
      <c r="N417" s="7">
        <f>IF(OR(E417="Apex Office Supplies",E417="Apex Office Supply Ltd"),"Apex Office Supplies",IF(OR(E417="Northstar IT Services",E417="North Star IT Svc"),"Northstar IT Services",IF(OR(E417="Metro Logistics",E417="Metro Logistics Pvt Ltd"),"Metro Logistics",E417)))</f>
        <v/>
      </c>
      <c r="O417" s="7">
        <f>IF(AND(ISNUMBER(L417),L417&gt;0),"Valid","Review")</f>
        <v/>
      </c>
      <c r="P417" s="7">
        <f>IF(OR(E417="",F417="",NOT(ISNUMBER(L417))),"Check Missing/Invalid Data","OK")</f>
        <v/>
      </c>
    </row>
    <row r="418">
      <c r="A418" s="7" t="inlineStr">
        <is>
          <t>PO-00587</t>
        </is>
      </c>
      <c r="B418" s="9" t="n">
        <v>45923</v>
      </c>
      <c r="C418" s="7" t="inlineStr">
        <is>
          <t>Purchase Order</t>
        </is>
      </c>
      <c r="D418" s="7" t="inlineStr">
        <is>
          <t>SUP002</t>
        </is>
      </c>
      <c r="E418" s="7">
        <f>IF(E418="","Unknown Supplier",TRIM(E418))</f>
        <v/>
      </c>
      <c r="F418" s="7">
        <f>IF(F418="","Unclassified",TRIM(F418))</f>
        <v/>
      </c>
      <c r="G418" s="7" t="inlineStr">
        <is>
          <t>Printer paper</t>
        </is>
      </c>
      <c r="H418" s="7" t="inlineStr">
        <is>
          <t>Manufacturing</t>
        </is>
      </c>
      <c r="I418" s="7" t="inlineStr">
        <is>
          <t>South</t>
        </is>
      </c>
      <c r="J418" s="7" t="n">
        <v>50</v>
      </c>
      <c r="K418" s="7" t="n">
        <v>85.01000000000001</v>
      </c>
      <c r="L418" s="7" t="n">
        <v>4250.6</v>
      </c>
      <c r="M418" s="7" t="inlineStr">
        <is>
          <t>Overdue</t>
        </is>
      </c>
      <c r="N418" s="7">
        <f>IF(OR(E418="Apex Office Supplies",E418="Apex Office Supply Ltd"),"Apex Office Supplies",IF(OR(E418="Northstar IT Services",E418="North Star IT Svc"),"Northstar IT Services",IF(OR(E418="Metro Logistics",E418="Metro Logistics Pvt Ltd"),"Metro Logistics",E418)))</f>
        <v/>
      </c>
      <c r="O418" s="7">
        <f>IF(AND(ISNUMBER(L418),L418&gt;0),"Valid","Review")</f>
        <v/>
      </c>
      <c r="P418" s="7">
        <f>IF(OR(E418="",F418="",NOT(ISNUMBER(L418))),"Check Missing/Invalid Data","OK")</f>
        <v/>
      </c>
    </row>
    <row r="419">
      <c r="A419" s="7" t="inlineStr">
        <is>
          <t>PO-00094</t>
        </is>
      </c>
      <c r="B419" s="9" t="n">
        <v>45923</v>
      </c>
      <c r="C419" s="7" t="inlineStr">
        <is>
          <t>Invoice</t>
        </is>
      </c>
      <c r="D419" s="7" t="inlineStr">
        <is>
          <t>SUP011</t>
        </is>
      </c>
      <c r="E419" s="7">
        <f>IF(E419="","Unknown Supplier",TRIM(E419))</f>
        <v/>
      </c>
      <c r="F419" s="7">
        <f>IF(F419="","Unclassified",TRIM(F419))</f>
        <v/>
      </c>
      <c r="G419" s="7" t="inlineStr">
        <is>
          <t>Promotional materials</t>
        </is>
      </c>
      <c r="H419" s="7" t="inlineStr">
        <is>
          <t>Sales</t>
        </is>
      </c>
      <c r="I419" s="7" t="inlineStr">
        <is>
          <t>North</t>
        </is>
      </c>
      <c r="J419" s="7" t="n">
        <v>75</v>
      </c>
      <c r="K419" s="7" t="n">
        <v>67.91</v>
      </c>
      <c r="L419" s="7" t="n">
        <v>5093.44</v>
      </c>
      <c r="M419" s="7" t="inlineStr">
        <is>
          <t>Pending</t>
        </is>
      </c>
      <c r="N419" s="7">
        <f>IF(OR(E419="Apex Office Supplies",E419="Apex Office Supply Ltd"),"Apex Office Supplies",IF(OR(E419="Northstar IT Services",E419="North Star IT Svc"),"Northstar IT Services",IF(OR(E419="Metro Logistics",E419="Metro Logistics Pvt Ltd"),"Metro Logistics",E419)))</f>
        <v/>
      </c>
      <c r="O419" s="7">
        <f>IF(AND(ISNUMBER(L419),L419&gt;0),"Valid","Review")</f>
        <v/>
      </c>
      <c r="P419" s="7">
        <f>IF(OR(E419="",F419="",NOT(ISNUMBER(L419))),"Check Missing/Invalid Data","OK")</f>
        <v/>
      </c>
    </row>
    <row r="420">
      <c r="A420" s="7" t="inlineStr">
        <is>
          <t>PO-00098</t>
        </is>
      </c>
      <c r="B420" s="9" t="n">
        <v>45923</v>
      </c>
      <c r="C420" s="7" t="inlineStr">
        <is>
          <t>Purchase Order</t>
        </is>
      </c>
      <c r="D420" s="7" t="inlineStr">
        <is>
          <t>SUP006</t>
        </is>
      </c>
      <c r="E420" s="7">
        <f>IF(E420="","Unknown Supplier",TRIM(E420))</f>
        <v/>
      </c>
      <c r="F420" s="7">
        <f>IF(F420="","Unclassified",TRIM(F420))</f>
        <v/>
      </c>
      <c r="G420" s="7" t="inlineStr">
        <is>
          <t>Freight services</t>
        </is>
      </c>
      <c r="H420" s="7" t="inlineStr">
        <is>
          <t>Technology</t>
        </is>
      </c>
      <c r="I420" s="7" t="inlineStr">
        <is>
          <t>South</t>
        </is>
      </c>
      <c r="J420" s="7" t="n">
        <v>57</v>
      </c>
      <c r="K420" s="7" t="n">
        <v>269.41</v>
      </c>
      <c r="L420" s="7" t="n">
        <v>15356.2</v>
      </c>
      <c r="M420" s="7" t="inlineStr">
        <is>
          <t>Pending</t>
        </is>
      </c>
      <c r="N420" s="7">
        <f>IF(OR(E420="Apex Office Supplies",E420="Apex Office Supply Ltd"),"Apex Office Supplies",IF(OR(E420="Northstar IT Services",E420="North Star IT Svc"),"Northstar IT Services",IF(OR(E420="Metro Logistics",E420="Metro Logistics Pvt Ltd"),"Metro Logistics",E420)))</f>
        <v/>
      </c>
      <c r="O420" s="7">
        <f>IF(AND(ISNUMBER(L420),L420&gt;0),"Valid","Review")</f>
        <v/>
      </c>
      <c r="P420" s="7">
        <f>IF(OR(E420="",F420="",NOT(ISNUMBER(L420))),"Check Missing/Invalid Data","OK")</f>
        <v/>
      </c>
    </row>
    <row r="421">
      <c r="A421" s="7" t="inlineStr">
        <is>
          <t>PO-00256</t>
        </is>
      </c>
      <c r="B421" s="9" t="n">
        <v>45924</v>
      </c>
      <c r="C421" s="7" t="inlineStr">
        <is>
          <t>Goods Receipt</t>
        </is>
      </c>
      <c r="D421" s="7" t="inlineStr">
        <is>
          <t>SUP004</t>
        </is>
      </c>
      <c r="E421" s="7">
        <f>IF(E421="","Unknown Supplier",TRIM(E421))</f>
        <v/>
      </c>
      <c r="F421" s="7">
        <f>IF(F421="","Unclassified",TRIM(F421))</f>
        <v/>
      </c>
      <c r="G421" s="7" t="inlineStr">
        <is>
          <t>IT consulting</t>
        </is>
      </c>
      <c r="H421" s="7" t="inlineStr">
        <is>
          <t>Operations</t>
        </is>
      </c>
      <c r="I421" s="7" t="inlineStr">
        <is>
          <t>West</t>
        </is>
      </c>
      <c r="J421" s="7" t="n">
        <v>72</v>
      </c>
      <c r="K421" s="7" t="n">
        <v>118.99</v>
      </c>
      <c r="L421" s="7" t="n">
        <v>8567.58</v>
      </c>
      <c r="M421" s="7" t="inlineStr">
        <is>
          <t>Overdue</t>
        </is>
      </c>
      <c r="N421" s="7">
        <f>IF(OR(E421="Apex Office Supplies",E421="Apex Office Supply Ltd"),"Apex Office Supplies",IF(OR(E421="Northstar IT Services",E421="North Star IT Svc"),"Northstar IT Services",IF(OR(E421="Metro Logistics",E421="Metro Logistics Pvt Ltd"),"Metro Logistics",E421)))</f>
        <v/>
      </c>
      <c r="O421" s="7">
        <f>IF(AND(ISNUMBER(L421),L421&gt;0),"Valid","Review")</f>
        <v/>
      </c>
      <c r="P421" s="7">
        <f>IF(OR(E421="",F421="",NOT(ISNUMBER(L421))),"Check Missing/Invalid Data","OK")</f>
        <v/>
      </c>
    </row>
    <row r="422">
      <c r="A422" s="7" t="inlineStr">
        <is>
          <t>PO-00245</t>
        </is>
      </c>
      <c r="B422" s="9" t="n">
        <v>45924</v>
      </c>
      <c r="C422" s="7" t="inlineStr">
        <is>
          <t>Invoice</t>
        </is>
      </c>
      <c r="D422" s="7" t="inlineStr">
        <is>
          <t>SUP008</t>
        </is>
      </c>
      <c r="E422" s="7">
        <f>IF(E422="","Unknown Supplier",TRIM(E422))</f>
        <v/>
      </c>
      <c r="F422" s="7">
        <f>IF(F422="","Unclassified",TRIM(F422))</f>
        <v/>
      </c>
      <c r="G422" s="7" t="inlineStr">
        <is>
          <t>Corrugated boxes</t>
        </is>
      </c>
      <c r="H422" s="7" t="inlineStr">
        <is>
          <t>Manufacturing</t>
        </is>
      </c>
      <c r="I422" s="7" t="inlineStr">
        <is>
          <t>West</t>
        </is>
      </c>
      <c r="J422" s="7" t="n">
        <v>75</v>
      </c>
      <c r="K422" s="7" t="n">
        <v>50.57</v>
      </c>
      <c r="L422" s="7" t="n">
        <v>3792.58</v>
      </c>
      <c r="M422" s="7" t="inlineStr">
        <is>
          <t>Paid</t>
        </is>
      </c>
      <c r="N422" s="7">
        <f>IF(OR(E422="Apex Office Supplies",E422="Apex Office Supply Ltd"),"Apex Office Supplies",IF(OR(E422="Northstar IT Services",E422="North Star IT Svc"),"Northstar IT Services",IF(OR(E422="Metro Logistics",E422="Metro Logistics Pvt Ltd"),"Metro Logistics",E422)))</f>
        <v/>
      </c>
      <c r="O422" s="7">
        <f>IF(AND(ISNUMBER(L422),L422&gt;0),"Valid","Review")</f>
        <v/>
      </c>
      <c r="P422" s="7">
        <f>IF(OR(E422="",F422="",NOT(ISNUMBER(L422))),"Check Missing/Invalid Data","OK")</f>
        <v/>
      </c>
    </row>
    <row r="423">
      <c r="A423" s="7" t="inlineStr">
        <is>
          <t>PO-00396</t>
        </is>
      </c>
      <c r="B423" s="9" t="n">
        <v>45925</v>
      </c>
      <c r="C423" s="7" t="inlineStr">
        <is>
          <t>Invoice</t>
        </is>
      </c>
      <c r="D423" s="7" t="inlineStr">
        <is>
          <t>SUP007</t>
        </is>
      </c>
      <c r="E423" s="7">
        <f>IF(E423="","Unknown Supplier",TRIM(E423))</f>
        <v/>
      </c>
      <c r="F423" s="7">
        <f>IF(F423="","Unclassified",TRIM(F423))</f>
        <v/>
      </c>
      <c r="G423" s="7" t="inlineStr">
        <is>
          <t>Security services</t>
        </is>
      </c>
      <c r="H423" s="7" t="inlineStr">
        <is>
          <t>Operations</t>
        </is>
      </c>
      <c r="I423" s="7" t="inlineStr">
        <is>
          <t>West</t>
        </is>
      </c>
      <c r="J423" s="7" t="n">
        <v>120</v>
      </c>
      <c r="K423" s="7" t="n">
        <v>103.37</v>
      </c>
      <c r="L423" s="7" t="n">
        <v>12404.77</v>
      </c>
      <c r="M423" s="7" t="inlineStr">
        <is>
          <t>Pending</t>
        </is>
      </c>
      <c r="N423" s="7">
        <f>IF(OR(E423="Apex Office Supplies",E423="Apex Office Supply Ltd"),"Apex Office Supplies",IF(OR(E423="Northstar IT Services",E423="North Star IT Svc"),"Northstar IT Services",IF(OR(E423="Metro Logistics",E423="Metro Logistics Pvt Ltd"),"Metro Logistics",E423)))</f>
        <v/>
      </c>
      <c r="O423" s="7">
        <f>IF(AND(ISNUMBER(L423),L423&gt;0),"Valid","Review")</f>
        <v/>
      </c>
      <c r="P423" s="7">
        <f>IF(OR(E423="",F423="",NOT(ISNUMBER(L423))),"Check Missing/Invalid Data","OK")</f>
        <v/>
      </c>
    </row>
    <row r="424">
      <c r="A424" s="7" t="inlineStr">
        <is>
          <t>PO-00438</t>
        </is>
      </c>
      <c r="B424" s="9" t="n">
        <v>45925</v>
      </c>
      <c r="C424" s="7" t="inlineStr">
        <is>
          <t>Purchase Order</t>
        </is>
      </c>
      <c r="D424" s="7" t="inlineStr">
        <is>
          <t>SUP004</t>
        </is>
      </c>
      <c r="E424" s="7">
        <f>IF(E424="","Unknown Supplier",TRIM(E424))</f>
        <v/>
      </c>
      <c r="F424" s="7">
        <f>IF(F424="","Unclassified",TRIM(F424))</f>
        <v/>
      </c>
      <c r="G424" s="7" t="inlineStr">
        <is>
          <t>IT consulting</t>
        </is>
      </c>
      <c r="H424" s="7" t="inlineStr">
        <is>
          <t>Sales</t>
        </is>
      </c>
      <c r="I424" s="7" t="inlineStr">
        <is>
          <t>South</t>
        </is>
      </c>
      <c r="J424" s="7" t="n">
        <v>21</v>
      </c>
      <c r="K424" s="7" t="n">
        <v>602.8099999999999</v>
      </c>
      <c r="L424" s="7" t="n">
        <v>12658.95</v>
      </c>
      <c r="M424" s="7" t="inlineStr">
        <is>
          <t>Overdue</t>
        </is>
      </c>
      <c r="N424" s="7">
        <f>IF(OR(E424="Apex Office Supplies",E424="Apex Office Supply Ltd"),"Apex Office Supplies",IF(OR(E424="Northstar IT Services",E424="North Star IT Svc"),"Northstar IT Services",IF(OR(E424="Metro Logistics",E424="Metro Logistics Pvt Ltd"),"Metro Logistics",E424)))</f>
        <v/>
      </c>
      <c r="O424" s="7">
        <f>IF(AND(ISNUMBER(L424),L424&gt;0),"Valid","Review")</f>
        <v/>
      </c>
      <c r="P424" s="7">
        <f>IF(OR(E424="",F424="",NOT(ISNUMBER(L424))),"Check Missing/Invalid Data","OK")</f>
        <v/>
      </c>
    </row>
    <row r="425">
      <c r="A425" s="7" t="inlineStr">
        <is>
          <t>PO-00182</t>
        </is>
      </c>
      <c r="B425" s="9" t="n">
        <v>45927</v>
      </c>
      <c r="C425" s="7" t="inlineStr">
        <is>
          <t>Purchase Order</t>
        </is>
      </c>
      <c r="D425" s="7" t="inlineStr">
        <is>
          <t>SUP009</t>
        </is>
      </c>
      <c r="E425" s="7">
        <f>IF(E425="","Unknown Supplier",TRIM(E425))</f>
        <v/>
      </c>
      <c r="F425" s="7">
        <f>IF(F425="","Unclassified",TRIM(F425))</f>
        <v/>
      </c>
      <c r="G425" s="7" t="inlineStr">
        <is>
          <t>Training services</t>
        </is>
      </c>
      <c r="H425" s="7" t="inlineStr">
        <is>
          <t>Sales</t>
        </is>
      </c>
      <c r="I425" s="7" t="inlineStr">
        <is>
          <t>North</t>
        </is>
      </c>
      <c r="J425" s="7" t="n">
        <v>71</v>
      </c>
      <c r="K425" s="7" t="n">
        <v>425.99</v>
      </c>
      <c r="L425" s="7" t="n">
        <v>30245.32</v>
      </c>
      <c r="M425" s="7" t="inlineStr">
        <is>
          <t>Overdue</t>
        </is>
      </c>
      <c r="N425" s="7">
        <f>IF(OR(E425="Apex Office Supplies",E425="Apex Office Supply Ltd"),"Apex Office Supplies",IF(OR(E425="Northstar IT Services",E425="North Star IT Svc"),"Northstar IT Services",IF(OR(E425="Metro Logistics",E425="Metro Logistics Pvt Ltd"),"Metro Logistics",E425)))</f>
        <v/>
      </c>
      <c r="O425" s="7">
        <f>IF(AND(ISNUMBER(L425),L425&gt;0),"Valid","Review")</f>
        <v/>
      </c>
      <c r="P425" s="7">
        <f>IF(OR(E425="",F425="",NOT(ISNUMBER(L425))),"Check Missing/Invalid Data","OK")</f>
        <v/>
      </c>
    </row>
    <row r="426">
      <c r="A426" s="7" t="inlineStr">
        <is>
          <t>PO-00056</t>
        </is>
      </c>
      <c r="B426" s="9" t="n">
        <v>45929</v>
      </c>
      <c r="C426" s="7" t="inlineStr">
        <is>
          <t>Invoice</t>
        </is>
      </c>
      <c r="D426" s="7" t="inlineStr">
        <is>
          <t>SUP009</t>
        </is>
      </c>
      <c r="E426" s="7">
        <f>IF(E426="","Unknown Supplier",TRIM(E426))</f>
        <v/>
      </c>
      <c r="F426" s="7">
        <f>IF(F426="","Unclassified",TRIM(F426))</f>
        <v/>
      </c>
      <c r="G426" s="7" t="inlineStr">
        <is>
          <t>Audit support</t>
        </is>
      </c>
      <c r="H426" s="7" t="inlineStr">
        <is>
          <t>Manufacturing</t>
        </is>
      </c>
      <c r="I426" s="7" t="inlineStr">
        <is>
          <t>West</t>
        </is>
      </c>
      <c r="J426" s="7" t="n">
        <v>115</v>
      </c>
      <c r="K426" s="7" t="n">
        <v>252.88</v>
      </c>
      <c r="L426" s="7" t="n">
        <v>29081.4</v>
      </c>
      <c r="M426" s="7" t="inlineStr">
        <is>
          <t>Overdue</t>
        </is>
      </c>
      <c r="N426" s="7">
        <f>IF(OR(E426="Apex Office Supplies",E426="Apex Office Supply Ltd"),"Apex Office Supplies",IF(OR(E426="Northstar IT Services",E426="North Star IT Svc"),"Northstar IT Services",IF(OR(E426="Metro Logistics",E426="Metro Logistics Pvt Ltd"),"Metro Logistics",E426)))</f>
        <v/>
      </c>
      <c r="O426" s="7">
        <f>IF(AND(ISNUMBER(L426),L426&gt;0),"Valid","Review")</f>
        <v/>
      </c>
      <c r="P426" s="7">
        <f>IF(OR(E426="",F426="",NOT(ISNUMBER(L426))),"Check Missing/Invalid Data","OK")</f>
        <v/>
      </c>
    </row>
    <row r="427">
      <c r="A427" s="7" t="inlineStr">
        <is>
          <t>PO-00017</t>
        </is>
      </c>
      <c r="B427" s="9" t="n">
        <v>45929</v>
      </c>
      <c r="C427" s="7" t="inlineStr">
        <is>
          <t>Invoice</t>
        </is>
      </c>
      <c r="D427" s="7" t="inlineStr">
        <is>
          <t>SUP001</t>
        </is>
      </c>
      <c r="E427" s="7">
        <f>IF(E427="","Unknown Supplier",TRIM(E427))</f>
        <v/>
      </c>
      <c r="F427" s="7">
        <f>IF(F427="","Unclassified",TRIM(F427))</f>
        <v/>
      </c>
      <c r="G427" s="7" t="inlineStr">
        <is>
          <t>Pens and stationery</t>
        </is>
      </c>
      <c r="H427" s="7" t="inlineStr">
        <is>
          <t>Operations</t>
        </is>
      </c>
      <c r="I427" s="7" t="inlineStr">
        <is>
          <t>North</t>
        </is>
      </c>
      <c r="J427" s="7" t="n">
        <v>15</v>
      </c>
      <c r="K427" s="7" t="n">
        <v>590.42</v>
      </c>
      <c r="L427" s="7" t="n">
        <v>8856.27</v>
      </c>
      <c r="M427" s="7" t="inlineStr">
        <is>
          <t>Paid</t>
        </is>
      </c>
      <c r="N427" s="7">
        <f>IF(OR(E427="Apex Office Supplies",E427="Apex Office Supply Ltd"),"Apex Office Supplies",IF(OR(E427="Northstar IT Services",E427="North Star IT Svc"),"Northstar IT Services",IF(OR(E427="Metro Logistics",E427="Metro Logistics Pvt Ltd"),"Metro Logistics",E427)))</f>
        <v/>
      </c>
      <c r="O427" s="7">
        <f>IF(AND(ISNUMBER(L427),L427&gt;0),"Valid","Review")</f>
        <v/>
      </c>
      <c r="P427" s="7">
        <f>IF(OR(E427="",F427="",NOT(ISNUMBER(L427))),"Check Missing/Invalid Data","OK")</f>
        <v/>
      </c>
    </row>
    <row r="428">
      <c r="A428" s="7" t="inlineStr">
        <is>
          <t>PO-00071</t>
        </is>
      </c>
      <c r="B428" s="9" t="n">
        <v>45930</v>
      </c>
      <c r="C428" s="7" t="inlineStr">
        <is>
          <t>Invoice</t>
        </is>
      </c>
      <c r="D428" s="7" t="inlineStr">
        <is>
          <t>SUP007</t>
        </is>
      </c>
      <c r="E428" s="7">
        <f>IF(E428="","Unknown Supplier",TRIM(E428))</f>
        <v/>
      </c>
      <c r="F428" s="7">
        <f>IF(F428="","Unclassified",TRIM(F428))</f>
        <v/>
      </c>
      <c r="G428" s="7" t="inlineStr">
        <is>
          <t>Cleaning services</t>
        </is>
      </c>
      <c r="H428" s="7" t="inlineStr">
        <is>
          <t>Sales</t>
        </is>
      </c>
      <c r="I428" s="7" t="inlineStr">
        <is>
          <t>West</t>
        </is>
      </c>
      <c r="J428" s="7" t="n">
        <v>83</v>
      </c>
      <c r="K428" s="7" t="n">
        <v>16.3</v>
      </c>
      <c r="L428" s="7" t="n">
        <v>1352.95</v>
      </c>
      <c r="M428" s="7" t="inlineStr">
        <is>
          <t>Paid</t>
        </is>
      </c>
      <c r="N428" s="7">
        <f>IF(OR(E428="Apex Office Supplies",E428="Apex Office Supply Ltd"),"Apex Office Supplies",IF(OR(E428="Northstar IT Services",E428="North Star IT Svc"),"Northstar IT Services",IF(OR(E428="Metro Logistics",E428="Metro Logistics Pvt Ltd"),"Metro Logistics",E428)))</f>
        <v/>
      </c>
      <c r="O428" s="7">
        <f>IF(AND(ISNUMBER(L428),L428&gt;0),"Valid","Review")</f>
        <v/>
      </c>
      <c r="P428" s="7">
        <f>IF(OR(E428="",F428="",NOT(ISNUMBER(L428))),"Check Missing/Invalid Data","OK")</f>
        <v/>
      </c>
    </row>
    <row r="429">
      <c r="A429" s="7" t="inlineStr">
        <is>
          <t>PO-00565</t>
        </is>
      </c>
      <c r="B429" s="9" t="n">
        <v>45930</v>
      </c>
      <c r="C429" s="7" t="inlineStr">
        <is>
          <t>Purchase Order</t>
        </is>
      </c>
      <c r="D429" s="7" t="inlineStr">
        <is>
          <t>SUP005</t>
        </is>
      </c>
      <c r="E429" s="7">
        <f>IF(E429="","Unknown Supplier",TRIM(E429))</f>
        <v/>
      </c>
      <c r="F429" s="7">
        <f>IF(F429="","Unclassified",TRIM(F429))</f>
        <v/>
      </c>
      <c r="G429" s="7" t="inlineStr">
        <is>
          <t>Courier services</t>
        </is>
      </c>
      <c r="H429" s="7" t="inlineStr">
        <is>
          <t>Corporate</t>
        </is>
      </c>
      <c r="I429" s="7" t="inlineStr">
        <is>
          <t>West</t>
        </is>
      </c>
      <c r="J429" s="7" t="n">
        <v>24</v>
      </c>
      <c r="K429" s="7" t="n">
        <v>1089.43</v>
      </c>
      <c r="L429" s="7" t="n">
        <v>26146.44</v>
      </c>
      <c r="M429" s="7" t="inlineStr">
        <is>
          <t>Overdue</t>
        </is>
      </c>
      <c r="N429" s="7">
        <f>IF(OR(E429="Apex Office Supplies",E429="Apex Office Supply Ltd"),"Apex Office Supplies",IF(OR(E429="Northstar IT Services",E429="North Star IT Svc"),"Northstar IT Services",IF(OR(E429="Metro Logistics",E429="Metro Logistics Pvt Ltd"),"Metro Logistics",E429)))</f>
        <v/>
      </c>
      <c r="O429" s="7">
        <f>IF(AND(ISNUMBER(L429),L429&gt;0),"Valid","Review")</f>
        <v/>
      </c>
      <c r="P429" s="7">
        <f>IF(OR(E429="",F429="",NOT(ISNUMBER(L429))),"Check Missing/Invalid Data","OK")</f>
        <v/>
      </c>
    </row>
    <row r="430">
      <c r="A430" s="7" t="inlineStr">
        <is>
          <t>PO-00172</t>
        </is>
      </c>
      <c r="B430" s="9" t="n">
        <v>45931</v>
      </c>
      <c r="C430" s="7" t="inlineStr">
        <is>
          <t>Purchase Order</t>
        </is>
      </c>
      <c r="D430" s="7" t="inlineStr">
        <is>
          <t>SUP004</t>
        </is>
      </c>
      <c r="E430" s="7">
        <f>IF(E430="","Unknown Supplier",TRIM(E430))</f>
        <v/>
      </c>
      <c r="F430" s="7">
        <f>IF(F430="","Unclassified",TRIM(F430))</f>
        <v/>
      </c>
      <c r="G430" s="7" t="inlineStr">
        <is>
          <t>Cloud services</t>
        </is>
      </c>
      <c r="H430" s="7" t="inlineStr">
        <is>
          <t>Manufacturing</t>
        </is>
      </c>
      <c r="I430" s="7" t="inlineStr">
        <is>
          <t>West</t>
        </is>
      </c>
      <c r="J430" s="7" t="n">
        <v>61</v>
      </c>
      <c r="K430" s="7" t="n">
        <v>406.28</v>
      </c>
      <c r="L430" s="7" t="n">
        <v>24782.93</v>
      </c>
      <c r="M430" s="7" t="inlineStr">
        <is>
          <t>Pending</t>
        </is>
      </c>
      <c r="N430" s="7">
        <f>IF(OR(E430="Apex Office Supplies",E430="Apex Office Supply Ltd"),"Apex Office Supplies",IF(OR(E430="Northstar IT Services",E430="North Star IT Svc"),"Northstar IT Services",IF(OR(E430="Metro Logistics",E430="Metro Logistics Pvt Ltd"),"Metro Logistics",E430)))</f>
        <v/>
      </c>
      <c r="O430" s="7">
        <f>IF(AND(ISNUMBER(L430),L430&gt;0),"Valid","Review")</f>
        <v/>
      </c>
      <c r="P430" s="7">
        <f>IF(OR(E430="",F430="",NOT(ISNUMBER(L430))),"Check Missing/Invalid Data","OK")</f>
        <v/>
      </c>
    </row>
    <row r="431">
      <c r="A431" s="7" t="inlineStr">
        <is>
          <t>PO-00264</t>
        </is>
      </c>
      <c r="B431" s="9" t="n">
        <v>45931</v>
      </c>
      <c r="C431" s="7" t="inlineStr">
        <is>
          <t>Invoice</t>
        </is>
      </c>
      <c r="D431" s="7" t="inlineStr">
        <is>
          <t>SUP011</t>
        </is>
      </c>
      <c r="E431" s="7">
        <f>IF(E431="","Unknown Supplier",TRIM(E431))</f>
        <v/>
      </c>
      <c r="F431" s="7">
        <f>IF(F431="","Unclassified",TRIM(F431))</f>
        <v/>
      </c>
      <c r="G431" s="7" t="inlineStr">
        <is>
          <t>Print advertising</t>
        </is>
      </c>
      <c r="H431" s="7" t="inlineStr">
        <is>
          <t>Corporate</t>
        </is>
      </c>
      <c r="I431" s="7" t="inlineStr">
        <is>
          <t>West</t>
        </is>
      </c>
      <c r="J431" s="7" t="n">
        <v>66</v>
      </c>
      <c r="K431" s="7" t="n">
        <v>72.68000000000001</v>
      </c>
      <c r="L431" s="7" t="n">
        <v>4796.72</v>
      </c>
      <c r="M431" s="7" t="inlineStr">
        <is>
          <t>Pending</t>
        </is>
      </c>
      <c r="N431" s="7">
        <f>IF(OR(E431="Apex Office Supplies",E431="Apex Office Supply Ltd"),"Apex Office Supplies",IF(OR(E431="Northstar IT Services",E431="North Star IT Svc"),"Northstar IT Services",IF(OR(E431="Metro Logistics",E431="Metro Logistics Pvt Ltd"),"Metro Logistics",E431)))</f>
        <v/>
      </c>
      <c r="O431" s="7">
        <f>IF(AND(ISNUMBER(L431),L431&gt;0),"Valid","Review")</f>
        <v/>
      </c>
      <c r="P431" s="7">
        <f>IF(OR(E431="",F431="",NOT(ISNUMBER(L431))),"Check Missing/Invalid Data","OK")</f>
        <v/>
      </c>
    </row>
    <row r="432">
      <c r="A432" s="7" t="inlineStr">
        <is>
          <t>PO-00520</t>
        </is>
      </c>
      <c r="B432" s="9" t="n">
        <v>45932</v>
      </c>
      <c r="C432" s="7" t="inlineStr">
        <is>
          <t>Invoice</t>
        </is>
      </c>
      <c r="D432" s="7" t="inlineStr">
        <is>
          <t>SUP007</t>
        </is>
      </c>
      <c r="E432" s="7">
        <f>IF(E432="","Unknown Supplier",TRIM(E432))</f>
        <v/>
      </c>
      <c r="F432" s="7">
        <f>IF(F432="","Unclassified",TRIM(F432))</f>
        <v/>
      </c>
      <c r="G432" s="7" t="inlineStr">
        <is>
          <t>Cleaning services</t>
        </is>
      </c>
      <c r="H432" s="7" t="inlineStr">
        <is>
          <t>Sales</t>
        </is>
      </c>
      <c r="I432" s="7" t="inlineStr">
        <is>
          <t>West</t>
        </is>
      </c>
      <c r="J432" s="7" t="n">
        <v>88</v>
      </c>
      <c r="K432" s="7" t="n">
        <v>125.69</v>
      </c>
      <c r="L432" s="7" t="n">
        <v>11060.43</v>
      </c>
      <c r="M432" s="7" t="inlineStr">
        <is>
          <t>Paid</t>
        </is>
      </c>
      <c r="N432" s="7">
        <f>IF(OR(E432="Apex Office Supplies",E432="Apex Office Supply Ltd"),"Apex Office Supplies",IF(OR(E432="Northstar IT Services",E432="North Star IT Svc"),"Northstar IT Services",IF(OR(E432="Metro Logistics",E432="Metro Logistics Pvt Ltd"),"Metro Logistics",E432)))</f>
        <v/>
      </c>
      <c r="O432" s="7">
        <f>IF(AND(ISNUMBER(L432),L432&gt;0),"Valid","Review")</f>
        <v/>
      </c>
      <c r="P432" s="7">
        <f>IF(OR(E432="",F432="",NOT(ISNUMBER(L432))),"Check Missing/Invalid Data","OK")</f>
        <v/>
      </c>
    </row>
    <row r="433">
      <c r="A433" s="7" t="inlineStr">
        <is>
          <t>PO-00045</t>
        </is>
      </c>
      <c r="B433" s="9" t="n">
        <v>45932</v>
      </c>
      <c r="C433" s="7" t="inlineStr">
        <is>
          <t>Purchase Order</t>
        </is>
      </c>
      <c r="D433" s="7" t="inlineStr">
        <is>
          <t>SUP006</t>
        </is>
      </c>
      <c r="E433" s="7">
        <f>IF(E433="","Unknown Supplier",TRIM(E433))</f>
        <v/>
      </c>
      <c r="F433" s="7">
        <f>IF(F433="","Unclassified",TRIM(F433))</f>
        <v/>
      </c>
      <c r="G433" s="7" t="inlineStr">
        <is>
          <t>Warehouse handling</t>
        </is>
      </c>
      <c r="H433" s="7" t="inlineStr">
        <is>
          <t>Technology</t>
        </is>
      </c>
      <c r="I433" s="7" t="inlineStr">
        <is>
          <t>North</t>
        </is>
      </c>
      <c r="J433" s="7" t="n">
        <v>34</v>
      </c>
      <c r="K433" s="7" t="n">
        <v>109.12</v>
      </c>
      <c r="L433" s="7" t="n">
        <v>3709.93</v>
      </c>
      <c r="M433" s="7" t="inlineStr">
        <is>
          <t>Paid</t>
        </is>
      </c>
      <c r="N433" s="7">
        <f>IF(OR(E433="Apex Office Supplies",E433="Apex Office Supply Ltd"),"Apex Office Supplies",IF(OR(E433="Northstar IT Services",E433="North Star IT Svc"),"Northstar IT Services",IF(OR(E433="Metro Logistics",E433="Metro Logistics Pvt Ltd"),"Metro Logistics",E433)))</f>
        <v/>
      </c>
      <c r="O433" s="7">
        <f>IF(AND(ISNUMBER(L433),L433&gt;0),"Valid","Review")</f>
        <v/>
      </c>
      <c r="P433" s="7">
        <f>IF(OR(E433="",F433="",NOT(ISNUMBER(L433))),"Check Missing/Invalid Data","OK")</f>
        <v/>
      </c>
    </row>
    <row r="434">
      <c r="A434" s="7" t="inlineStr">
        <is>
          <t>PO-00297</t>
        </is>
      </c>
      <c r="B434" s="9" t="n">
        <v>45932</v>
      </c>
      <c r="C434" s="7" t="inlineStr">
        <is>
          <t>Purchase Order</t>
        </is>
      </c>
      <c r="D434" s="7" t="inlineStr">
        <is>
          <t>SUP010</t>
        </is>
      </c>
      <c r="E434" s="7">
        <f>IF(E434="","Unknown Supplier",TRIM(E434))</f>
        <v/>
      </c>
      <c r="F434" s="7">
        <f>IF(F434="","Unclassified",TRIM(F434))</f>
        <v/>
      </c>
      <c r="G434" s="7" t="inlineStr">
        <is>
          <t>Natural gas</t>
        </is>
      </c>
      <c r="H434" s="7" t="inlineStr">
        <is>
          <t>Technology</t>
        </is>
      </c>
      <c r="I434" s="7" t="inlineStr">
        <is>
          <t>South</t>
        </is>
      </c>
      <c r="J434" s="7" t="n">
        <v>99</v>
      </c>
      <c r="K434" s="7" t="n">
        <v>16.56</v>
      </c>
      <c r="L434" s="7" t="n">
        <v>1639.48</v>
      </c>
      <c r="M434" s="7" t="inlineStr">
        <is>
          <t>Overdue</t>
        </is>
      </c>
      <c r="N434" s="7">
        <f>IF(OR(E434="Apex Office Supplies",E434="Apex Office Supply Ltd"),"Apex Office Supplies",IF(OR(E434="Northstar IT Services",E434="North Star IT Svc"),"Northstar IT Services",IF(OR(E434="Metro Logistics",E434="Metro Logistics Pvt Ltd"),"Metro Logistics",E434)))</f>
        <v/>
      </c>
      <c r="O434" s="7">
        <f>IF(AND(ISNUMBER(L434),L434&gt;0),"Valid","Review")</f>
        <v/>
      </c>
      <c r="P434" s="7">
        <f>IF(OR(E434="",F434="",NOT(ISNUMBER(L434))),"Check Missing/Invalid Data","OK")</f>
        <v/>
      </c>
    </row>
    <row r="435">
      <c r="A435" s="7" t="inlineStr">
        <is>
          <t>PO-00402</t>
        </is>
      </c>
      <c r="B435" s="9" t="n">
        <v>45932</v>
      </c>
      <c r="C435" s="7" t="inlineStr">
        <is>
          <t>Invoice</t>
        </is>
      </c>
      <c r="D435" s="7" t="inlineStr">
        <is>
          <t>SUP006</t>
        </is>
      </c>
      <c r="E435" s="7">
        <f>IF(E435="","Unknown Supplier",TRIM(E435))</f>
        <v/>
      </c>
      <c r="F435" s="7">
        <f>IF(F435="","Unclassified",TRIM(F435))</f>
        <v/>
      </c>
      <c r="G435" s="7" t="inlineStr">
        <is>
          <t>Warehouse handling</t>
        </is>
      </c>
      <c r="H435" s="7" t="inlineStr">
        <is>
          <t>Manufacturing</t>
        </is>
      </c>
      <c r="I435" s="7" t="inlineStr">
        <is>
          <t>West</t>
        </is>
      </c>
      <c r="J435" s="7" t="n">
        <v>84</v>
      </c>
      <c r="K435" s="7" t="n">
        <v>98.01000000000001</v>
      </c>
      <c r="L435" s="7" t="n">
        <v>8232.700000000001</v>
      </c>
      <c r="M435" s="7" t="inlineStr">
        <is>
          <t>Paid</t>
        </is>
      </c>
      <c r="N435" s="7">
        <f>IF(OR(E435="Apex Office Supplies",E435="Apex Office Supply Ltd"),"Apex Office Supplies",IF(OR(E435="Northstar IT Services",E435="North Star IT Svc"),"Northstar IT Services",IF(OR(E435="Metro Logistics",E435="Metro Logistics Pvt Ltd"),"Metro Logistics",E435)))</f>
        <v/>
      </c>
      <c r="O435" s="7">
        <f>IF(AND(ISNUMBER(L435),L435&gt;0),"Valid","Review")</f>
        <v/>
      </c>
      <c r="P435" s="7">
        <f>IF(OR(E435="",F435="",NOT(ISNUMBER(L435))),"Check Missing/Invalid Data","OK")</f>
        <v/>
      </c>
    </row>
    <row r="436">
      <c r="A436" s="7" t="inlineStr">
        <is>
          <t>PO-00073</t>
        </is>
      </c>
      <c r="B436" s="9" t="n">
        <v>45933</v>
      </c>
      <c r="C436" s="7" t="inlineStr">
        <is>
          <t>Invoice</t>
        </is>
      </c>
      <c r="D436" s="7" t="inlineStr">
        <is>
          <t>SUP008</t>
        </is>
      </c>
      <c r="E436" s="7">
        <f>IF(E436="","Unknown Supplier",TRIM(E436))</f>
        <v/>
      </c>
      <c r="F436" s="7">
        <f>IF(F436="","Unclassified",TRIM(F436))</f>
        <v/>
      </c>
      <c r="G436" s="7" t="inlineStr">
        <is>
          <t>Protective packaging</t>
        </is>
      </c>
      <c r="H436" s="7" t="inlineStr">
        <is>
          <t>Operations</t>
        </is>
      </c>
      <c r="I436" s="7" t="inlineStr">
        <is>
          <t>North</t>
        </is>
      </c>
      <c r="J436" s="7" t="n">
        <v>76</v>
      </c>
      <c r="K436" s="7" t="n">
        <v>195.84</v>
      </c>
      <c r="L436" s="7" t="n">
        <v>14884.13</v>
      </c>
      <c r="M436" s="7" t="inlineStr">
        <is>
          <t>Pending</t>
        </is>
      </c>
      <c r="N436" s="7">
        <f>IF(OR(E436="Apex Office Supplies",E436="Apex Office Supply Ltd"),"Apex Office Supplies",IF(OR(E436="Northstar IT Services",E436="North Star IT Svc"),"Northstar IT Services",IF(OR(E436="Metro Logistics",E436="Metro Logistics Pvt Ltd"),"Metro Logistics",E436)))</f>
        <v/>
      </c>
      <c r="O436" s="7">
        <f>IF(AND(ISNUMBER(L436),L436&gt;0),"Valid","Review")</f>
        <v/>
      </c>
      <c r="P436" s="7">
        <f>IF(OR(E436="",F436="",NOT(ISNUMBER(L436))),"Check Missing/Invalid Data","OK")</f>
        <v/>
      </c>
    </row>
    <row r="437">
      <c r="A437" s="7" t="inlineStr">
        <is>
          <t>PO-00250</t>
        </is>
      </c>
      <c r="B437" s="9" t="n">
        <v>45933</v>
      </c>
      <c r="C437" s="7" t="inlineStr">
        <is>
          <t>Purchase Order</t>
        </is>
      </c>
      <c r="D437" s="7" t="inlineStr">
        <is>
          <t>SUP007</t>
        </is>
      </c>
      <c r="E437" s="7">
        <f>IF(E437="","Unknown Supplier",TRIM(E437))</f>
        <v/>
      </c>
      <c r="F437" s="7">
        <f>IF(F437="","Unclassified",TRIM(F437))</f>
        <v/>
      </c>
      <c r="G437" s="7" t="inlineStr">
        <is>
          <t>Cleaning services</t>
        </is>
      </c>
      <c r="H437" s="7" t="inlineStr">
        <is>
          <t>Technology</t>
        </is>
      </c>
      <c r="I437" s="7" t="inlineStr">
        <is>
          <t>West</t>
        </is>
      </c>
      <c r="J437" s="7" t="n">
        <v>29</v>
      </c>
      <c r="K437" s="7" t="n">
        <v>452.9</v>
      </c>
      <c r="L437" s="7" t="n">
        <v>13134.1</v>
      </c>
      <c r="M437" s="7" t="inlineStr">
        <is>
          <t>Overdue</t>
        </is>
      </c>
      <c r="N437" s="7">
        <f>IF(OR(E437="Apex Office Supplies",E437="Apex Office Supply Ltd"),"Apex Office Supplies",IF(OR(E437="Northstar IT Services",E437="North Star IT Svc"),"Northstar IT Services",IF(OR(E437="Metro Logistics",E437="Metro Logistics Pvt Ltd"),"Metro Logistics",E437)))</f>
        <v/>
      </c>
      <c r="O437" s="7">
        <f>IF(AND(ISNUMBER(L437),L437&gt;0),"Valid","Review")</f>
        <v/>
      </c>
      <c r="P437" s="7">
        <f>IF(OR(E437="",F437="",NOT(ISNUMBER(L437))),"Check Missing/Invalid Data","OK")</f>
        <v/>
      </c>
    </row>
    <row r="438">
      <c r="A438" s="7" t="inlineStr">
        <is>
          <t>PO-00311</t>
        </is>
      </c>
      <c r="B438" s="9" t="n">
        <v>45933</v>
      </c>
      <c r="C438" s="7" t="inlineStr">
        <is>
          <t>Goods Receipt</t>
        </is>
      </c>
      <c r="D438" s="7" t="inlineStr">
        <is>
          <t>SUP012</t>
        </is>
      </c>
      <c r="E438" s="7">
        <f>IF(E438="","Unknown Supplier",TRIM(E438))</f>
        <v/>
      </c>
      <c r="F438" s="7">
        <f>IF(F438="","Unclassified",TRIM(F438))</f>
        <v/>
      </c>
      <c r="G438" s="7" t="inlineStr">
        <is>
          <t>Repair parts</t>
        </is>
      </c>
      <c r="H438" s="7" t="inlineStr">
        <is>
          <t>Sales</t>
        </is>
      </c>
      <c r="I438" s="7" t="inlineStr">
        <is>
          <t>East</t>
        </is>
      </c>
      <c r="J438" s="7" t="n">
        <v>23</v>
      </c>
      <c r="K438" s="7" t="n">
        <v>728.73</v>
      </c>
      <c r="L438" s="7" t="n">
        <v>16760.83</v>
      </c>
      <c r="M438" s="7" t="inlineStr">
        <is>
          <t>Paid</t>
        </is>
      </c>
      <c r="N438" s="7">
        <f>IF(OR(E438="Apex Office Supplies",E438="Apex Office Supply Ltd"),"Apex Office Supplies",IF(OR(E438="Northstar IT Services",E438="North Star IT Svc"),"Northstar IT Services",IF(OR(E438="Metro Logistics",E438="Metro Logistics Pvt Ltd"),"Metro Logistics",E438)))</f>
        <v/>
      </c>
      <c r="O438" s="7">
        <f>IF(AND(ISNUMBER(L438),L438&gt;0),"Valid","Review")</f>
        <v/>
      </c>
      <c r="P438" s="7">
        <f>IF(OR(E438="",F438="",NOT(ISNUMBER(L438))),"Check Missing/Invalid Data","OK")</f>
        <v/>
      </c>
    </row>
    <row r="439">
      <c r="A439" s="7" t="inlineStr">
        <is>
          <t>PO-00034</t>
        </is>
      </c>
      <c r="B439" s="9" t="n">
        <v>45933</v>
      </c>
      <c r="C439" s="7" t="inlineStr">
        <is>
          <t>Purchase Order</t>
        </is>
      </c>
      <c r="D439" s="7" t="inlineStr">
        <is>
          <t>SUP004</t>
        </is>
      </c>
      <c r="E439" s="7">
        <f>IF(E439="","Unknown Supplier",TRIM(E439))</f>
        <v/>
      </c>
      <c r="F439" s="7">
        <f>IF(F439="","Unclassified",TRIM(F439))</f>
        <v/>
      </c>
      <c r="G439" s="7" t="inlineStr">
        <is>
          <t>Software support</t>
        </is>
      </c>
      <c r="H439" s="7" t="inlineStr">
        <is>
          <t>Technology</t>
        </is>
      </c>
      <c r="I439" s="7" t="inlineStr">
        <is>
          <t>East</t>
        </is>
      </c>
      <c r="J439" s="7" t="n">
        <v>45</v>
      </c>
      <c r="K439" s="7" t="n">
        <v>94</v>
      </c>
      <c r="L439" s="7" t="n">
        <v>4230.15</v>
      </c>
      <c r="M439" s="7" t="inlineStr">
        <is>
          <t>Paid</t>
        </is>
      </c>
      <c r="N439" s="7">
        <f>IF(OR(E439="Apex Office Supplies",E439="Apex Office Supply Ltd"),"Apex Office Supplies",IF(OR(E439="Northstar IT Services",E439="North Star IT Svc"),"Northstar IT Services",IF(OR(E439="Metro Logistics",E439="Metro Logistics Pvt Ltd"),"Metro Logistics",E439)))</f>
        <v/>
      </c>
      <c r="O439" s="7">
        <f>IF(AND(ISNUMBER(L439),L439&gt;0),"Valid","Review")</f>
        <v/>
      </c>
      <c r="P439" s="7">
        <f>IF(OR(E439="",F439="",NOT(ISNUMBER(L439))),"Check Missing/Invalid Data","OK")</f>
        <v/>
      </c>
    </row>
    <row r="440">
      <c r="A440" s="7" t="inlineStr">
        <is>
          <t>PO-00104</t>
        </is>
      </c>
      <c r="B440" s="9" t="n">
        <v>45933</v>
      </c>
      <c r="C440" s="7" t="inlineStr">
        <is>
          <t>Invoice</t>
        </is>
      </c>
      <c r="D440" s="7" t="inlineStr">
        <is>
          <t>SUP008</t>
        </is>
      </c>
      <c r="E440" s="7">
        <f>IF(E440="","Unknown Supplier",TRIM(E440))</f>
        <v/>
      </c>
      <c r="F440" s="7">
        <f>IF(F440="","Unclassified",TRIM(F440))</f>
        <v/>
      </c>
      <c r="G440" s="7" t="inlineStr">
        <is>
          <t>Protective packaging</t>
        </is>
      </c>
      <c r="H440" s="7" t="inlineStr">
        <is>
          <t>Technology</t>
        </is>
      </c>
      <c r="I440" s="7" t="inlineStr">
        <is>
          <t>South</t>
        </is>
      </c>
      <c r="J440" s="7" t="n">
        <v>70</v>
      </c>
      <c r="K440" s="7" t="n">
        <v>142.69</v>
      </c>
      <c r="L440" s="7" t="n">
        <v>9988.280000000001</v>
      </c>
      <c r="M440" s="7" t="inlineStr">
        <is>
          <t>Overdue</t>
        </is>
      </c>
      <c r="N440" s="7">
        <f>IF(OR(E440="Apex Office Supplies",E440="Apex Office Supply Ltd"),"Apex Office Supplies",IF(OR(E440="Northstar IT Services",E440="North Star IT Svc"),"Northstar IT Services",IF(OR(E440="Metro Logistics",E440="Metro Logistics Pvt Ltd"),"Metro Logistics",E440)))</f>
        <v/>
      </c>
      <c r="O440" s="7">
        <f>IF(AND(ISNUMBER(L440),L440&gt;0),"Valid","Review")</f>
        <v/>
      </c>
      <c r="P440" s="7">
        <f>IF(OR(E440="",F440="",NOT(ISNUMBER(L440))),"Check Missing/Invalid Data","OK")</f>
        <v/>
      </c>
    </row>
    <row r="441">
      <c r="A441" s="7" t="inlineStr">
        <is>
          <t>PO-00066</t>
        </is>
      </c>
      <c r="B441" s="9" t="n">
        <v>45934</v>
      </c>
      <c r="C441" s="7" t="inlineStr">
        <is>
          <t>Purchase Order</t>
        </is>
      </c>
      <c r="D441" s="7" t="inlineStr">
        <is>
          <t>SUP001</t>
        </is>
      </c>
      <c r="E441" s="7">
        <f>IF(E441="","Unknown Supplier",TRIM(E441))</f>
        <v/>
      </c>
      <c r="F441" s="7">
        <f>IF(F441="","Unclassified",TRIM(F441))</f>
        <v/>
      </c>
      <c r="G441" s="7" t="inlineStr">
        <is>
          <t>Toner cartridges</t>
        </is>
      </c>
      <c r="H441" s="7" t="inlineStr">
        <is>
          <t>Corporate</t>
        </is>
      </c>
      <c r="I441" s="7" t="inlineStr">
        <is>
          <t>North</t>
        </is>
      </c>
      <c r="J441" s="7" t="n">
        <v>84</v>
      </c>
      <c r="K441" s="7" t="n">
        <v>75.92</v>
      </c>
      <c r="L441" s="7" t="n">
        <v>6377.29</v>
      </c>
      <c r="M441" s="7" t="inlineStr">
        <is>
          <t>Paid</t>
        </is>
      </c>
      <c r="N441" s="7">
        <f>IF(OR(E441="Apex Office Supplies",E441="Apex Office Supply Ltd"),"Apex Office Supplies",IF(OR(E441="Northstar IT Services",E441="North Star IT Svc"),"Northstar IT Services",IF(OR(E441="Metro Logistics",E441="Metro Logistics Pvt Ltd"),"Metro Logistics",E441)))</f>
        <v/>
      </c>
      <c r="O441" s="7">
        <f>IF(AND(ISNUMBER(L441),L441&gt;0),"Valid","Review")</f>
        <v/>
      </c>
      <c r="P441" s="7">
        <f>IF(OR(E441="",F441="",NOT(ISNUMBER(L441))),"Check Missing/Invalid Data","OK")</f>
        <v/>
      </c>
    </row>
    <row r="442">
      <c r="A442" s="7" t="inlineStr">
        <is>
          <t>PO-00198</t>
        </is>
      </c>
      <c r="B442" s="9" t="n">
        <v>45935</v>
      </c>
      <c r="C442" s="7" t="inlineStr">
        <is>
          <t>Goods Receipt</t>
        </is>
      </c>
      <c r="D442" s="7" t="inlineStr">
        <is>
          <t>SUP005</t>
        </is>
      </c>
      <c r="E442" s="7">
        <f>IF(E442="","Unknown Supplier",TRIM(E442))</f>
        <v/>
      </c>
      <c r="F442" s="7">
        <f>IF(F442="","Unclassified",TRIM(F442))</f>
        <v/>
      </c>
      <c r="G442" s="7" t="inlineStr">
        <is>
          <t>Warehouse handling</t>
        </is>
      </c>
      <c r="H442" s="7" t="inlineStr">
        <is>
          <t>Operations</t>
        </is>
      </c>
      <c r="I442" s="7" t="inlineStr">
        <is>
          <t>East</t>
        </is>
      </c>
      <c r="J442" s="7" t="n">
        <v>92</v>
      </c>
      <c r="K442" s="7" t="n">
        <v>283.5</v>
      </c>
      <c r="L442" s="7" t="n">
        <v>26082</v>
      </c>
      <c r="M442" s="7" t="inlineStr">
        <is>
          <t>Overdue</t>
        </is>
      </c>
      <c r="N442" s="7">
        <f>IF(OR(E442="Apex Office Supplies",E442="Apex Office Supply Ltd"),"Apex Office Supplies",IF(OR(E442="Northstar IT Services",E442="North Star IT Svc"),"Northstar IT Services",IF(OR(E442="Metro Logistics",E442="Metro Logistics Pvt Ltd"),"Metro Logistics",E442)))</f>
        <v/>
      </c>
      <c r="O442" s="7">
        <f>IF(AND(ISNUMBER(L442),L442&gt;0),"Valid","Review")</f>
        <v/>
      </c>
      <c r="P442" s="7">
        <f>IF(OR(E442="",F442="",NOT(ISNUMBER(L442))),"Check Missing/Invalid Data","OK")</f>
        <v/>
      </c>
    </row>
    <row r="443">
      <c r="A443" s="7" t="inlineStr">
        <is>
          <t>PO-00371</t>
        </is>
      </c>
      <c r="B443" s="9" t="n">
        <v>45936</v>
      </c>
      <c r="C443" s="7" t="inlineStr">
        <is>
          <t>Invoice</t>
        </is>
      </c>
      <c r="D443" s="7" t="inlineStr">
        <is>
          <t>SUP008</t>
        </is>
      </c>
      <c r="E443" s="7">
        <f>IF(E443="","Unknown Supplier",TRIM(E443))</f>
        <v/>
      </c>
      <c r="F443" s="7">
        <f>IF(F443="","Unclassified",TRIM(F443))</f>
        <v/>
      </c>
      <c r="G443" s="7" t="inlineStr">
        <is>
          <t>Protective packaging</t>
        </is>
      </c>
      <c r="H443" s="7" t="inlineStr">
        <is>
          <t>Operations</t>
        </is>
      </c>
      <c r="I443" s="7" t="inlineStr">
        <is>
          <t>North</t>
        </is>
      </c>
      <c r="J443" s="7" t="n">
        <v>42</v>
      </c>
      <c r="K443" s="7" t="n">
        <v>243.66</v>
      </c>
      <c r="L443" s="7" t="n">
        <v>10233.84</v>
      </c>
      <c r="M443" s="7" t="inlineStr">
        <is>
          <t>Pending</t>
        </is>
      </c>
      <c r="N443" s="7">
        <f>IF(OR(E443="Apex Office Supplies",E443="Apex Office Supply Ltd"),"Apex Office Supplies",IF(OR(E443="Northstar IT Services",E443="North Star IT Svc"),"Northstar IT Services",IF(OR(E443="Metro Logistics",E443="Metro Logistics Pvt Ltd"),"Metro Logistics",E443)))</f>
        <v/>
      </c>
      <c r="O443" s="7">
        <f>IF(AND(ISNUMBER(L443),L443&gt;0),"Valid","Review")</f>
        <v/>
      </c>
      <c r="P443" s="7">
        <f>IF(OR(E443="",F443="",NOT(ISNUMBER(L443))),"Check Missing/Invalid Data","OK")</f>
        <v/>
      </c>
    </row>
    <row r="444">
      <c r="A444" s="7" t="inlineStr">
        <is>
          <t>PO-00251</t>
        </is>
      </c>
      <c r="B444" s="9" t="n">
        <v>45936</v>
      </c>
      <c r="C444" s="7" t="inlineStr">
        <is>
          <t>Invoice</t>
        </is>
      </c>
      <c r="D444" s="7" t="inlineStr">
        <is>
          <t>SUP007</t>
        </is>
      </c>
      <c r="E444" s="7">
        <f>IF(E444="","Unknown Supplier",TRIM(E444))</f>
        <v/>
      </c>
      <c r="F444" s="7">
        <f>IF(F444="","Unclassified",TRIM(F444))</f>
        <v/>
      </c>
      <c r="G444" s="7" t="inlineStr">
        <is>
          <t>Facility maintenance</t>
        </is>
      </c>
      <c r="H444" s="7" t="inlineStr">
        <is>
          <t>Operations</t>
        </is>
      </c>
      <c r="I444" s="7" t="inlineStr">
        <is>
          <t>East</t>
        </is>
      </c>
      <c r="J444" s="7" t="n">
        <v>32</v>
      </c>
      <c r="K444" s="7" t="n">
        <v>463.8</v>
      </c>
      <c r="L444" s="7" t="n">
        <v>14841.68</v>
      </c>
      <c r="M444" s="7" t="inlineStr">
        <is>
          <t>Paid</t>
        </is>
      </c>
      <c r="N444" s="7">
        <f>IF(OR(E444="Apex Office Supplies",E444="Apex Office Supply Ltd"),"Apex Office Supplies",IF(OR(E444="Northstar IT Services",E444="North Star IT Svc"),"Northstar IT Services",IF(OR(E444="Metro Logistics",E444="Metro Logistics Pvt Ltd"),"Metro Logistics",E444)))</f>
        <v/>
      </c>
      <c r="O444" s="7">
        <f>IF(AND(ISNUMBER(L444),L444&gt;0),"Valid","Review")</f>
        <v/>
      </c>
      <c r="P444" s="7">
        <f>IF(OR(E444="",F444="",NOT(ISNUMBER(L444))),"Check Missing/Invalid Data","OK")</f>
        <v/>
      </c>
    </row>
    <row r="445">
      <c r="A445" s="7" t="inlineStr">
        <is>
          <t>PO-00542</t>
        </is>
      </c>
      <c r="B445" s="9" t="n">
        <v>45938</v>
      </c>
      <c r="C445" s="7" t="inlineStr">
        <is>
          <t>Invoice</t>
        </is>
      </c>
      <c r="D445" s="7" t="inlineStr">
        <is>
          <t>SUP005</t>
        </is>
      </c>
      <c r="E445" s="7">
        <f>IF(E445="","Unknown Supplier",TRIM(E445))</f>
        <v/>
      </c>
      <c r="F445" s="7">
        <f>IF(F445="","Unclassified",TRIM(F445))</f>
        <v/>
      </c>
      <c r="G445" s="7" t="inlineStr">
        <is>
          <t>Courier services</t>
        </is>
      </c>
      <c r="H445" s="7" t="inlineStr">
        <is>
          <t>Operations</t>
        </is>
      </c>
      <c r="I445" s="7" t="inlineStr">
        <is>
          <t>West</t>
        </is>
      </c>
      <c r="J445" s="7" t="n">
        <v>79</v>
      </c>
      <c r="K445" s="7" t="n">
        <v>183.94</v>
      </c>
      <c r="L445" s="7" t="n">
        <v>14531.01</v>
      </c>
      <c r="M445" s="7" t="inlineStr">
        <is>
          <t>Pending</t>
        </is>
      </c>
      <c r="N445" s="7">
        <f>IF(OR(E445="Apex Office Supplies",E445="Apex Office Supply Ltd"),"Apex Office Supplies",IF(OR(E445="Northstar IT Services",E445="North Star IT Svc"),"Northstar IT Services",IF(OR(E445="Metro Logistics",E445="Metro Logistics Pvt Ltd"),"Metro Logistics",E445)))</f>
        <v/>
      </c>
      <c r="O445" s="7">
        <f>IF(AND(ISNUMBER(L445),L445&gt;0),"Valid","Review")</f>
        <v/>
      </c>
      <c r="P445" s="7">
        <f>IF(OR(E445="",F445="",NOT(ISNUMBER(L445))),"Check Missing/Invalid Data","OK")</f>
        <v/>
      </c>
    </row>
    <row r="446">
      <c r="A446" s="7" t="inlineStr">
        <is>
          <t>PO-00463</t>
        </is>
      </c>
      <c r="B446" s="9" t="n">
        <v>45938</v>
      </c>
      <c r="C446" s="7" t="inlineStr">
        <is>
          <t>Purchase Order</t>
        </is>
      </c>
      <c r="D446" s="7" t="inlineStr">
        <is>
          <t>SUP006</t>
        </is>
      </c>
      <c r="E446" s="7">
        <f>IF(E446="","Unknown Supplier",TRIM(E446))</f>
        <v/>
      </c>
      <c r="F446" s="7">
        <f>IF(F446="","Unclassified",TRIM(F446))</f>
        <v/>
      </c>
      <c r="G446" s="7" t="inlineStr">
        <is>
          <t>Freight services</t>
        </is>
      </c>
      <c r="H446" s="7" t="inlineStr">
        <is>
          <t>Operations</t>
        </is>
      </c>
      <c r="I446" s="7" t="inlineStr">
        <is>
          <t>East</t>
        </is>
      </c>
      <c r="J446" s="7" t="n">
        <v>81</v>
      </c>
      <c r="K446" s="7" t="n">
        <v>353.58</v>
      </c>
      <c r="L446" s="7" t="n">
        <v>28639.83</v>
      </c>
      <c r="M446" s="7" t="inlineStr">
        <is>
          <t>Overdue</t>
        </is>
      </c>
      <c r="N446" s="7">
        <f>IF(OR(E446="Apex Office Supplies",E446="Apex Office Supply Ltd"),"Apex Office Supplies",IF(OR(E446="Northstar IT Services",E446="North Star IT Svc"),"Northstar IT Services",IF(OR(E446="Metro Logistics",E446="Metro Logistics Pvt Ltd"),"Metro Logistics",E446)))</f>
        <v/>
      </c>
      <c r="O446" s="7">
        <f>IF(AND(ISNUMBER(L446),L446&gt;0),"Valid","Review")</f>
        <v/>
      </c>
      <c r="P446" s="7">
        <f>IF(OR(E446="",F446="",NOT(ISNUMBER(L446))),"Check Missing/Invalid Data","OK")</f>
        <v/>
      </c>
    </row>
    <row r="447">
      <c r="A447" s="7" t="inlineStr">
        <is>
          <t>PO-00523</t>
        </is>
      </c>
      <c r="B447" s="9" t="n">
        <v>45939</v>
      </c>
      <c r="C447" s="7" t="inlineStr">
        <is>
          <t>Invoice</t>
        </is>
      </c>
      <c r="D447" s="7" t="inlineStr">
        <is>
          <t>SUP010</t>
        </is>
      </c>
      <c r="E447" s="7">
        <f>IF(E447="","Unknown Supplier",TRIM(E447))</f>
        <v/>
      </c>
      <c r="F447" s="7">
        <f>IF(F447="","Unclassified",TRIM(F447))</f>
        <v/>
      </c>
      <c r="G447" s="7" t="inlineStr">
        <is>
          <t>Natural gas</t>
        </is>
      </c>
      <c r="H447" s="7" t="inlineStr">
        <is>
          <t>Corporate</t>
        </is>
      </c>
      <c r="I447" s="7" t="inlineStr">
        <is>
          <t>North</t>
        </is>
      </c>
      <c r="J447" s="7" t="n">
        <v>21</v>
      </c>
      <c r="K447" s="7" t="n">
        <v>607.5</v>
      </c>
      <c r="L447" s="7" t="n">
        <v>12757.4</v>
      </c>
      <c r="M447" s="7" t="inlineStr">
        <is>
          <t>Paid</t>
        </is>
      </c>
      <c r="N447" s="7">
        <f>IF(OR(E447="Apex Office Supplies",E447="Apex Office Supply Ltd"),"Apex Office Supplies",IF(OR(E447="Northstar IT Services",E447="North Star IT Svc"),"Northstar IT Services",IF(OR(E447="Metro Logistics",E447="Metro Logistics Pvt Ltd"),"Metro Logistics",E447)))</f>
        <v/>
      </c>
      <c r="O447" s="7">
        <f>IF(AND(ISNUMBER(L447),L447&gt;0),"Valid","Review")</f>
        <v/>
      </c>
      <c r="P447" s="7">
        <f>IF(OR(E447="",F447="",NOT(ISNUMBER(L447))),"Check Missing/Invalid Data","OK")</f>
        <v/>
      </c>
    </row>
    <row r="448">
      <c r="A448" s="7" t="inlineStr">
        <is>
          <t>PO-00474</t>
        </is>
      </c>
      <c r="B448" s="9" t="n">
        <v>45939</v>
      </c>
      <c r="C448" s="7" t="inlineStr">
        <is>
          <t>Purchase Order</t>
        </is>
      </c>
      <c r="D448" s="7" t="inlineStr">
        <is>
          <t>SUP006</t>
        </is>
      </c>
      <c r="E448" s="7">
        <f>IF(E448="","Unknown Supplier",TRIM(E448))</f>
        <v/>
      </c>
      <c r="F448" s="7">
        <f>IF(F448="","Unclassified",TRIM(F448))</f>
        <v/>
      </c>
      <c r="G448" s="7" t="inlineStr">
        <is>
          <t>Freight services</t>
        </is>
      </c>
      <c r="H448" s="7" t="inlineStr">
        <is>
          <t>Manufacturing</t>
        </is>
      </c>
      <c r="I448" s="7" t="inlineStr">
        <is>
          <t>North</t>
        </is>
      </c>
      <c r="J448" s="7" t="n">
        <v>68</v>
      </c>
      <c r="K448" s="7" t="n">
        <v>319.33</v>
      </c>
      <c r="L448" s="7" t="n">
        <v>21714.69</v>
      </c>
      <c r="M448" s="7" t="inlineStr">
        <is>
          <t>Overdue</t>
        </is>
      </c>
      <c r="N448" s="7">
        <f>IF(OR(E448="Apex Office Supplies",E448="Apex Office Supply Ltd"),"Apex Office Supplies",IF(OR(E448="Northstar IT Services",E448="North Star IT Svc"),"Northstar IT Services",IF(OR(E448="Metro Logistics",E448="Metro Logistics Pvt Ltd"),"Metro Logistics",E448)))</f>
        <v/>
      </c>
      <c r="O448" s="7">
        <f>IF(AND(ISNUMBER(L448),L448&gt;0),"Valid","Review")</f>
        <v/>
      </c>
      <c r="P448" s="7">
        <f>IF(OR(E448="",F448="",NOT(ISNUMBER(L448))),"Check Missing/Invalid Data","OK")</f>
        <v/>
      </c>
    </row>
    <row r="449">
      <c r="A449" s="7" t="inlineStr">
        <is>
          <t>PO-00200</t>
        </is>
      </c>
      <c r="B449" s="9" t="n">
        <v>45940</v>
      </c>
      <c r="C449" s="7" t="inlineStr">
        <is>
          <t>Invoice</t>
        </is>
      </c>
      <c r="D449" s="7" t="inlineStr">
        <is>
          <t>SUP003</t>
        </is>
      </c>
      <c r="E449" s="7">
        <f>IF(E449="","Unknown Supplier",TRIM(E449))</f>
        <v/>
      </c>
      <c r="F449" s="7">
        <f>IF(F449="","Unclassified",TRIM(F449))</f>
        <v/>
      </c>
      <c r="G449" s="7" t="inlineStr">
        <is>
          <t>IT consulting</t>
        </is>
      </c>
      <c r="H449" s="7" t="inlineStr">
        <is>
          <t>Sales</t>
        </is>
      </c>
      <c r="I449" s="7" t="inlineStr">
        <is>
          <t>West</t>
        </is>
      </c>
      <c r="J449" s="7" t="n">
        <v>40</v>
      </c>
      <c r="K449" s="7" t="n">
        <v>70.62</v>
      </c>
      <c r="L449" s="7" t="n">
        <v>2824.61</v>
      </c>
      <c r="M449" s="7" t="inlineStr">
        <is>
          <t>Pending</t>
        </is>
      </c>
      <c r="N449" s="7">
        <f>IF(OR(E449="Apex Office Supplies",E449="Apex Office Supply Ltd"),"Apex Office Supplies",IF(OR(E449="Northstar IT Services",E449="North Star IT Svc"),"Northstar IT Services",IF(OR(E449="Metro Logistics",E449="Metro Logistics Pvt Ltd"),"Metro Logistics",E449)))</f>
        <v/>
      </c>
      <c r="O449" s="7">
        <f>IF(AND(ISNUMBER(L449),L449&gt;0),"Valid","Review")</f>
        <v/>
      </c>
      <c r="P449" s="7">
        <f>IF(OR(E449="",F449="",NOT(ISNUMBER(L449))),"Check Missing/Invalid Data","OK")</f>
        <v/>
      </c>
    </row>
    <row r="450">
      <c r="A450" s="7" t="inlineStr">
        <is>
          <t>PO-00202</t>
        </is>
      </c>
      <c r="B450" s="9" t="n">
        <v>45940</v>
      </c>
      <c r="C450" s="7" t="inlineStr">
        <is>
          <t>Invoice</t>
        </is>
      </c>
      <c r="D450" s="7" t="inlineStr">
        <is>
          <t>SUP011</t>
        </is>
      </c>
      <c r="E450" s="7">
        <f>IF(E450="","Unknown Supplier",TRIM(E450))</f>
        <v/>
      </c>
      <c r="F450" s="7">
        <f>IF(F450="","Unclassified",TRIM(F450))</f>
        <v/>
      </c>
      <c r="G450" s="7" t="inlineStr">
        <is>
          <t>Promotional materials</t>
        </is>
      </c>
      <c r="H450" s="7" t="inlineStr">
        <is>
          <t>Corporate</t>
        </is>
      </c>
      <c r="I450" s="7" t="inlineStr">
        <is>
          <t>North</t>
        </is>
      </c>
      <c r="J450" s="7" t="n">
        <v>17</v>
      </c>
      <c r="K450" s="7" t="n">
        <v>814.58</v>
      </c>
      <c r="L450" s="7" t="n">
        <v>13847.94</v>
      </c>
      <c r="M450" s="7" t="inlineStr">
        <is>
          <t>Overdue</t>
        </is>
      </c>
      <c r="N450" s="7">
        <f>IF(OR(E450="Apex Office Supplies",E450="Apex Office Supply Ltd"),"Apex Office Supplies",IF(OR(E450="Northstar IT Services",E450="North Star IT Svc"),"Northstar IT Services",IF(OR(E450="Metro Logistics",E450="Metro Logistics Pvt Ltd"),"Metro Logistics",E450)))</f>
        <v/>
      </c>
      <c r="O450" s="7">
        <f>IF(AND(ISNUMBER(L450),L450&gt;0),"Valid","Review")</f>
        <v/>
      </c>
      <c r="P450" s="7">
        <f>IF(OR(E450="",F450="",NOT(ISNUMBER(L450))),"Check Missing/Invalid Data","OK")</f>
        <v/>
      </c>
    </row>
    <row r="451">
      <c r="A451" s="7" t="inlineStr">
        <is>
          <t>PO-00078</t>
        </is>
      </c>
      <c r="B451" s="9" t="n">
        <v>45941</v>
      </c>
      <c r="C451" s="7" t="inlineStr">
        <is>
          <t>Invoice</t>
        </is>
      </c>
      <c r="D451" s="7" t="inlineStr">
        <is>
          <t>SUP009</t>
        </is>
      </c>
      <c r="E451" s="7">
        <f>IF(E451="","Unknown Supplier",TRIM(E451))</f>
        <v/>
      </c>
      <c r="F451" s="7">
        <f>IF(F451="","Unclassified",TRIM(F451))</f>
        <v/>
      </c>
      <c r="G451" s="7" t="inlineStr">
        <is>
          <t>Training services</t>
        </is>
      </c>
      <c r="H451" s="7" t="inlineStr">
        <is>
          <t>Sales</t>
        </is>
      </c>
      <c r="I451" s="7" t="inlineStr">
        <is>
          <t>East</t>
        </is>
      </c>
      <c r="J451" s="7" t="n">
        <v>71</v>
      </c>
      <c r="K451" s="7" t="n">
        <v>429.54</v>
      </c>
      <c r="L451" s="7" t="n">
        <v>30497.61</v>
      </c>
      <c r="M451" s="7" t="inlineStr">
        <is>
          <t>Pending</t>
        </is>
      </c>
      <c r="N451" s="7">
        <f>IF(OR(E451="Apex Office Supplies",E451="Apex Office Supply Ltd"),"Apex Office Supplies",IF(OR(E451="Northstar IT Services",E451="North Star IT Svc"),"Northstar IT Services",IF(OR(E451="Metro Logistics",E451="Metro Logistics Pvt Ltd"),"Metro Logistics",E451)))</f>
        <v/>
      </c>
      <c r="O451" s="7">
        <f>IF(AND(ISNUMBER(L451),L451&gt;0),"Valid","Review")</f>
        <v/>
      </c>
      <c r="P451" s="7">
        <f>IF(OR(E451="",F451="",NOT(ISNUMBER(L451))),"Check Missing/Invalid Data","OK")</f>
        <v/>
      </c>
    </row>
    <row r="452">
      <c r="A452" s="7" t="inlineStr">
        <is>
          <t>PO-00266</t>
        </is>
      </c>
      <c r="B452" s="9" t="n">
        <v>45941</v>
      </c>
      <c r="C452" s="7" t="inlineStr">
        <is>
          <t>Purchase Order</t>
        </is>
      </c>
      <c r="D452" s="7" t="inlineStr">
        <is>
          <t>SUP010</t>
        </is>
      </c>
      <c r="E452" s="7">
        <f>IF(E452="","Unknown Supplier",TRIM(E452))</f>
        <v/>
      </c>
      <c r="F452" s="7">
        <f>IF(F452="","Unclassified",TRIM(F452))</f>
        <v/>
      </c>
      <c r="G452" s="7" t="inlineStr">
        <is>
          <t>Water services</t>
        </is>
      </c>
      <c r="H452" s="7" t="inlineStr">
        <is>
          <t>Operations</t>
        </is>
      </c>
      <c r="I452" s="7" t="inlineStr">
        <is>
          <t>West</t>
        </is>
      </c>
      <c r="J452" s="7" t="n">
        <v>20</v>
      </c>
      <c r="K452" s="7" t="n">
        <v>379.31</v>
      </c>
      <c r="L452" s="7" t="n">
        <v>7586.3</v>
      </c>
      <c r="M452" s="7" t="inlineStr">
        <is>
          <t>Overdue</t>
        </is>
      </c>
      <c r="N452" s="7">
        <f>IF(OR(E452="Apex Office Supplies",E452="Apex Office Supply Ltd"),"Apex Office Supplies",IF(OR(E452="Northstar IT Services",E452="North Star IT Svc"),"Northstar IT Services",IF(OR(E452="Metro Logistics",E452="Metro Logistics Pvt Ltd"),"Metro Logistics",E452)))</f>
        <v/>
      </c>
      <c r="O452" s="7">
        <f>IF(AND(ISNUMBER(L452),L452&gt;0),"Valid","Review")</f>
        <v/>
      </c>
      <c r="P452" s="7">
        <f>IF(OR(E452="",F452="",NOT(ISNUMBER(L452))),"Check Missing/Invalid Data","OK")</f>
        <v/>
      </c>
    </row>
    <row r="453">
      <c r="A453" s="7" t="inlineStr">
        <is>
          <t>PO-00144</t>
        </is>
      </c>
      <c r="B453" s="9" t="n">
        <v>45942</v>
      </c>
      <c r="C453" s="7" t="inlineStr">
        <is>
          <t>Invoice</t>
        </is>
      </c>
      <c r="D453" s="7" t="inlineStr">
        <is>
          <t>SUP006</t>
        </is>
      </c>
      <c r="E453" s="7">
        <f>IF(E453="","Unknown Supplier",TRIM(E453))</f>
        <v/>
      </c>
      <c r="F453" s="7">
        <f>IF(F453="","Unclassified",TRIM(F453))</f>
        <v/>
      </c>
      <c r="G453" s="7" t="inlineStr">
        <is>
          <t>Warehouse handling</t>
        </is>
      </c>
      <c r="H453" s="7" t="inlineStr">
        <is>
          <t>Manufacturing</t>
        </is>
      </c>
      <c r="I453" s="7" t="inlineStr">
        <is>
          <t>North</t>
        </is>
      </c>
      <c r="J453" s="7" t="n">
        <v>29</v>
      </c>
      <c r="K453" s="7" t="n">
        <v>299.01</v>
      </c>
      <c r="L453" s="7" t="n">
        <v>8671.360000000001</v>
      </c>
      <c r="M453" s="7" t="inlineStr">
        <is>
          <t>Overdue</t>
        </is>
      </c>
      <c r="N453" s="7">
        <f>IF(OR(E453="Apex Office Supplies",E453="Apex Office Supply Ltd"),"Apex Office Supplies",IF(OR(E453="Northstar IT Services",E453="North Star IT Svc"),"Northstar IT Services",IF(OR(E453="Metro Logistics",E453="Metro Logistics Pvt Ltd"),"Metro Logistics",E453)))</f>
        <v/>
      </c>
      <c r="O453" s="7">
        <f>IF(AND(ISNUMBER(L453),L453&gt;0),"Valid","Review")</f>
        <v/>
      </c>
      <c r="P453" s="7">
        <f>IF(OR(E453="",F453="",NOT(ISNUMBER(L453))),"Check Missing/Invalid Data","OK")</f>
        <v/>
      </c>
    </row>
    <row r="454">
      <c r="A454" s="7" t="inlineStr">
        <is>
          <t>PO-00085</t>
        </is>
      </c>
      <c r="B454" s="9" t="n">
        <v>45943</v>
      </c>
      <c r="C454" s="7" t="inlineStr">
        <is>
          <t>Goods Receipt</t>
        </is>
      </c>
      <c r="D454" s="7" t="inlineStr">
        <is>
          <t>SUP007</t>
        </is>
      </c>
      <c r="E454" s="7">
        <f>IF(E454="","Unknown Supplier",TRIM(E454))</f>
        <v/>
      </c>
      <c r="F454" s="7">
        <f>IF(F454="","Unclassified",TRIM(F454))</f>
        <v/>
      </c>
      <c r="G454" s="7" t="inlineStr">
        <is>
          <t>Facility maintenance</t>
        </is>
      </c>
      <c r="H454" s="7" t="inlineStr">
        <is>
          <t>Sales</t>
        </is>
      </c>
      <c r="I454" s="7" t="inlineStr">
        <is>
          <t>West</t>
        </is>
      </c>
      <c r="J454" s="7" t="n">
        <v>29</v>
      </c>
      <c r="K454" s="7" t="n">
        <v>491.67</v>
      </c>
      <c r="L454" s="7" t="n">
        <v>14258.45</v>
      </c>
      <c r="M454" s="7" t="inlineStr">
        <is>
          <t>Pending</t>
        </is>
      </c>
      <c r="N454" s="7">
        <f>IF(OR(E454="Apex Office Supplies",E454="Apex Office Supply Ltd"),"Apex Office Supplies",IF(OR(E454="Northstar IT Services",E454="North Star IT Svc"),"Northstar IT Services",IF(OR(E454="Metro Logistics",E454="Metro Logistics Pvt Ltd"),"Metro Logistics",E454)))</f>
        <v/>
      </c>
      <c r="O454" s="7">
        <f>IF(AND(ISNUMBER(L454),L454&gt;0),"Valid","Review")</f>
        <v/>
      </c>
      <c r="P454" s="7">
        <f>IF(OR(E454="",F454="",NOT(ISNUMBER(L454))),"Check Missing/Invalid Data","OK")</f>
        <v/>
      </c>
    </row>
    <row r="455">
      <c r="A455" s="7" t="inlineStr">
        <is>
          <t>PO-00529</t>
        </is>
      </c>
      <c r="B455" s="9" t="n">
        <v>45944</v>
      </c>
      <c r="C455" s="7" t="inlineStr">
        <is>
          <t>Purchase Order</t>
        </is>
      </c>
      <c r="D455" s="7" t="inlineStr">
        <is>
          <t>SUP010</t>
        </is>
      </c>
      <c r="E455" s="7">
        <f>IF(E455="","Unknown Supplier",TRIM(E455))</f>
        <v/>
      </c>
      <c r="F455" s="7">
        <f>IF(F455="","Unclassified",TRIM(F455))</f>
        <v/>
      </c>
      <c r="G455" s="7" t="inlineStr">
        <is>
          <t>Natural gas</t>
        </is>
      </c>
      <c r="H455" s="7" t="inlineStr">
        <is>
          <t>Operations</t>
        </is>
      </c>
      <c r="I455" s="7" t="inlineStr">
        <is>
          <t>West</t>
        </is>
      </c>
      <c r="J455" s="7" t="n">
        <v>36</v>
      </c>
      <c r="K455" s="7" t="n">
        <v>481.77</v>
      </c>
      <c r="L455" s="7" t="n">
        <v>17343.58</v>
      </c>
      <c r="M455" s="7" t="inlineStr">
        <is>
          <t>Pending</t>
        </is>
      </c>
      <c r="N455" s="7">
        <f>IF(OR(E455="Apex Office Supplies",E455="Apex Office Supply Ltd"),"Apex Office Supplies",IF(OR(E455="Northstar IT Services",E455="North Star IT Svc"),"Northstar IT Services",IF(OR(E455="Metro Logistics",E455="Metro Logistics Pvt Ltd"),"Metro Logistics",E455)))</f>
        <v/>
      </c>
      <c r="O455" s="7">
        <f>IF(AND(ISNUMBER(L455),L455&gt;0),"Valid","Review")</f>
        <v/>
      </c>
      <c r="P455" s="7">
        <f>IF(OR(E455="",F455="",NOT(ISNUMBER(L455))),"Check Missing/Invalid Data","OK")</f>
        <v/>
      </c>
    </row>
    <row r="456">
      <c r="A456" s="7" t="inlineStr">
        <is>
          <t>PO-00287</t>
        </is>
      </c>
      <c r="B456" s="9" t="n">
        <v>45944</v>
      </c>
      <c r="C456" s="7" t="inlineStr">
        <is>
          <t>Purchase Order</t>
        </is>
      </c>
      <c r="D456" s="7" t="inlineStr">
        <is>
          <t>SUP004</t>
        </is>
      </c>
      <c r="E456" s="7">
        <f>IF(E456="","Unknown Supplier",TRIM(E456))</f>
        <v/>
      </c>
      <c r="F456" s="7">
        <f>IF(F456="","Unclassified",TRIM(F456))</f>
        <v/>
      </c>
      <c r="G456" s="7" t="inlineStr">
        <is>
          <t>Software support</t>
        </is>
      </c>
      <c r="H456" s="7" t="inlineStr">
        <is>
          <t>Technology</t>
        </is>
      </c>
      <c r="I456" s="7" t="inlineStr">
        <is>
          <t>East</t>
        </is>
      </c>
      <c r="J456" s="7" t="n">
        <v>49</v>
      </c>
      <c r="K456" s="7" t="n">
        <v>109.36</v>
      </c>
      <c r="L456" s="7" t="n">
        <v>5358.64</v>
      </c>
      <c r="M456" s="7" t="inlineStr">
        <is>
          <t>Pending</t>
        </is>
      </c>
      <c r="N456" s="7">
        <f>IF(OR(E456="Apex Office Supplies",E456="Apex Office Supply Ltd"),"Apex Office Supplies",IF(OR(E456="Northstar IT Services",E456="North Star IT Svc"),"Northstar IT Services",IF(OR(E456="Metro Logistics",E456="Metro Logistics Pvt Ltd"),"Metro Logistics",E456)))</f>
        <v/>
      </c>
      <c r="O456" s="7">
        <f>IF(AND(ISNUMBER(L456),L456&gt;0),"Valid","Review")</f>
        <v/>
      </c>
      <c r="P456" s="7">
        <f>IF(OR(E456="",F456="",NOT(ISNUMBER(L456))),"Check Missing/Invalid Data","OK")</f>
        <v/>
      </c>
    </row>
    <row r="457">
      <c r="A457" s="7" t="inlineStr">
        <is>
          <t>PO-00465</t>
        </is>
      </c>
      <c r="B457" s="9" t="n">
        <v>45945</v>
      </c>
      <c r="C457" s="7" t="inlineStr">
        <is>
          <t>Invoice</t>
        </is>
      </c>
      <c r="D457" s="7" t="inlineStr">
        <is>
          <t>SUP008</t>
        </is>
      </c>
      <c r="E457" s="7">
        <f>IF(E457="","Unknown Supplier",TRIM(E457))</f>
        <v/>
      </c>
      <c r="F457" s="7">
        <f>IF(F457="","Unclassified",TRIM(F457))</f>
        <v/>
      </c>
      <c r="G457" s="7" t="inlineStr">
        <is>
          <t>Labels</t>
        </is>
      </c>
      <c r="H457" s="7" t="inlineStr">
        <is>
          <t>Manufacturing</t>
        </is>
      </c>
      <c r="I457" s="7" t="inlineStr">
        <is>
          <t>East</t>
        </is>
      </c>
      <c r="J457" s="7" t="n">
        <v>91</v>
      </c>
      <c r="K457" s="7" t="n">
        <v>186.54</v>
      </c>
      <c r="L457" s="7" t="n">
        <v>16975</v>
      </c>
      <c r="M457" s="7" t="inlineStr">
        <is>
          <t>Pending</t>
        </is>
      </c>
      <c r="N457" s="7">
        <f>IF(OR(E457="Apex Office Supplies",E457="Apex Office Supply Ltd"),"Apex Office Supplies",IF(OR(E457="Northstar IT Services",E457="North Star IT Svc"),"Northstar IT Services",IF(OR(E457="Metro Logistics",E457="Metro Logistics Pvt Ltd"),"Metro Logistics",E457)))</f>
        <v/>
      </c>
      <c r="O457" s="7">
        <f>IF(AND(ISNUMBER(L457),L457&gt;0),"Valid","Review")</f>
        <v/>
      </c>
      <c r="P457" s="7">
        <f>IF(OR(E457="",F457="",NOT(ISNUMBER(L457))),"Check Missing/Invalid Data","OK")</f>
        <v/>
      </c>
    </row>
    <row r="458">
      <c r="A458" s="7" t="inlineStr">
        <is>
          <t>PO-00279</t>
        </is>
      </c>
      <c r="B458" s="9" t="n">
        <v>45946</v>
      </c>
      <c r="C458" s="7" t="inlineStr">
        <is>
          <t>Goods Receipt</t>
        </is>
      </c>
      <c r="D458" s="7" t="inlineStr">
        <is>
          <t>SUP004</t>
        </is>
      </c>
      <c r="E458" s="7">
        <f>IF(E458="","Unknown Supplier",TRIM(E458))</f>
        <v/>
      </c>
      <c r="F458" s="7">
        <f>IF(F458="","Unclassified",TRIM(F458))</f>
        <v/>
      </c>
      <c r="G458" s="7" t="inlineStr">
        <is>
          <t>Cloud services</t>
        </is>
      </c>
      <c r="H458" s="7" t="inlineStr">
        <is>
          <t>Sales</t>
        </is>
      </c>
      <c r="I458" s="7" t="inlineStr">
        <is>
          <t>South</t>
        </is>
      </c>
      <c r="J458" s="7" t="n">
        <v>87</v>
      </c>
      <c r="K458" s="7" t="n">
        <v>299.12</v>
      </c>
      <c r="L458" s="7" t="n">
        <v>26023.65</v>
      </c>
      <c r="M458" s="7" t="inlineStr">
        <is>
          <t>Overdue</t>
        </is>
      </c>
      <c r="N458" s="7">
        <f>IF(OR(E458="Apex Office Supplies",E458="Apex Office Supply Ltd"),"Apex Office Supplies",IF(OR(E458="Northstar IT Services",E458="North Star IT Svc"),"Northstar IT Services",IF(OR(E458="Metro Logistics",E458="Metro Logistics Pvt Ltd"),"Metro Logistics",E458)))</f>
        <v/>
      </c>
      <c r="O458" s="7">
        <f>IF(AND(ISNUMBER(L458),L458&gt;0),"Valid","Review")</f>
        <v/>
      </c>
      <c r="P458" s="7">
        <f>IF(OR(E458="",F458="",NOT(ISNUMBER(L458))),"Check Missing/Invalid Data","OK")</f>
        <v/>
      </c>
    </row>
    <row r="459">
      <c r="A459" s="7" t="inlineStr">
        <is>
          <t>PO-00244</t>
        </is>
      </c>
      <c r="B459" s="9" t="n">
        <v>45946</v>
      </c>
      <c r="C459" s="7" t="inlineStr">
        <is>
          <t>Goods Receipt</t>
        </is>
      </c>
      <c r="D459" s="7" t="inlineStr">
        <is>
          <t>SUP002</t>
        </is>
      </c>
      <c r="E459" s="7">
        <f>IF(E459="","Unknown Supplier",TRIM(E459))</f>
        <v/>
      </c>
      <c r="F459" s="7">
        <f>IF(F459="","Unclassified",TRIM(F459))</f>
        <v/>
      </c>
      <c r="G459" s="7" t="inlineStr">
        <is>
          <t>Tools and supplies</t>
        </is>
      </c>
      <c r="H459" s="7" t="inlineStr">
        <is>
          <t>Operations</t>
        </is>
      </c>
      <c r="I459" s="7" t="inlineStr">
        <is>
          <t>South</t>
        </is>
      </c>
      <c r="J459" s="7" t="n">
        <v>26</v>
      </c>
      <c r="K459" s="7" t="n">
        <v>625.52</v>
      </c>
      <c r="L459" s="7" t="n">
        <v>16263.64</v>
      </c>
      <c r="M459" s="7" t="inlineStr">
        <is>
          <t>Pending</t>
        </is>
      </c>
      <c r="N459" s="7">
        <f>IF(OR(E459="Apex Office Supplies",E459="Apex Office Supply Ltd"),"Apex Office Supplies",IF(OR(E459="Northstar IT Services",E459="North Star IT Svc"),"Northstar IT Services",IF(OR(E459="Metro Logistics",E459="Metro Logistics Pvt Ltd"),"Metro Logistics",E459)))</f>
        <v/>
      </c>
      <c r="O459" s="7">
        <f>IF(AND(ISNUMBER(L459),L459&gt;0),"Valid","Review")</f>
        <v/>
      </c>
      <c r="P459" s="7">
        <f>IF(OR(E459="",F459="",NOT(ISNUMBER(L459))),"Check Missing/Invalid Data","OK")</f>
        <v/>
      </c>
    </row>
    <row r="460">
      <c r="A460" s="7" t="inlineStr">
        <is>
          <t>PO-00220</t>
        </is>
      </c>
      <c r="B460" s="9" t="n">
        <v>45946</v>
      </c>
      <c r="C460" s="7" t="inlineStr">
        <is>
          <t>Goods Receipt</t>
        </is>
      </c>
      <c r="D460" s="7" t="inlineStr">
        <is>
          <t>SUP005</t>
        </is>
      </c>
      <c r="E460" s="7">
        <f>IF(E460="","Unknown Supplier",TRIM(E460))</f>
        <v/>
      </c>
      <c r="F460" s="7">
        <f>IF(F460="","Unclassified",TRIM(F460))</f>
        <v/>
      </c>
      <c r="G460" s="7" t="inlineStr">
        <is>
          <t>Freight services</t>
        </is>
      </c>
      <c r="H460" s="7" t="inlineStr">
        <is>
          <t>Sales</t>
        </is>
      </c>
      <c r="I460" s="7" t="inlineStr">
        <is>
          <t>East</t>
        </is>
      </c>
      <c r="J460" s="7" t="n">
        <v>43</v>
      </c>
      <c r="K460" s="7" t="n">
        <v>16.5</v>
      </c>
      <c r="L460" s="7" t="n">
        <v>709.7</v>
      </c>
      <c r="M460" s="7" t="inlineStr">
        <is>
          <t>Overdue</t>
        </is>
      </c>
      <c r="N460" s="7">
        <f>IF(OR(E460="Apex Office Supplies",E460="Apex Office Supply Ltd"),"Apex Office Supplies",IF(OR(E460="Northstar IT Services",E460="North Star IT Svc"),"Northstar IT Services",IF(OR(E460="Metro Logistics",E460="Metro Logistics Pvt Ltd"),"Metro Logistics",E460)))</f>
        <v/>
      </c>
      <c r="O460" s="7">
        <f>IF(AND(ISNUMBER(L460),L460&gt;0),"Valid","Review")</f>
        <v/>
      </c>
      <c r="P460" s="7">
        <f>IF(OR(E460="",F460="",NOT(ISNUMBER(L460))),"Check Missing/Invalid Data","OK")</f>
        <v/>
      </c>
    </row>
    <row r="461">
      <c r="A461" s="7" t="inlineStr">
        <is>
          <t>PO-00315</t>
        </is>
      </c>
      <c r="B461" s="9" t="n">
        <v>45947</v>
      </c>
      <c r="C461" s="7" t="inlineStr">
        <is>
          <t>Purchase Order</t>
        </is>
      </c>
      <c r="D461" s="7" t="inlineStr">
        <is>
          <t>SUP012</t>
        </is>
      </c>
      <c r="E461" s="7">
        <f>IF(E461="","Unknown Supplier",TRIM(E461))</f>
        <v/>
      </c>
      <c r="F461" s="7">
        <f>IF(F461="","Unclassified",TRIM(F461))</f>
        <v/>
      </c>
      <c r="G461" s="7" t="inlineStr">
        <is>
          <t>Tools and supplies</t>
        </is>
      </c>
      <c r="H461" s="7" t="inlineStr">
        <is>
          <t>Corporate</t>
        </is>
      </c>
      <c r="I461" s="7" t="inlineStr">
        <is>
          <t>East</t>
        </is>
      </c>
      <c r="J461" s="7" t="n">
        <v>66</v>
      </c>
      <c r="K461" s="7" t="n">
        <v>136</v>
      </c>
      <c r="L461" s="7" t="n">
        <v>8976.200000000001</v>
      </c>
      <c r="M461" s="7" t="inlineStr">
        <is>
          <t>Overdue</t>
        </is>
      </c>
      <c r="N461" s="7">
        <f>IF(OR(E461="Apex Office Supplies",E461="Apex Office Supply Ltd"),"Apex Office Supplies",IF(OR(E461="Northstar IT Services",E461="North Star IT Svc"),"Northstar IT Services",IF(OR(E461="Metro Logistics",E461="Metro Logistics Pvt Ltd"),"Metro Logistics",E461)))</f>
        <v/>
      </c>
      <c r="O461" s="7">
        <f>IF(AND(ISNUMBER(L461),L461&gt;0),"Valid","Review")</f>
        <v/>
      </c>
      <c r="P461" s="7">
        <f>IF(OR(E461="",F461="",NOT(ISNUMBER(L461))),"Check Missing/Invalid Data","OK")</f>
        <v/>
      </c>
    </row>
    <row r="462">
      <c r="A462" s="7" t="inlineStr">
        <is>
          <t>PO-00274</t>
        </is>
      </c>
      <c r="B462" s="9" t="n">
        <v>45947</v>
      </c>
      <c r="C462" s="7" t="inlineStr">
        <is>
          <t>Purchase Order</t>
        </is>
      </c>
      <c r="D462" s="7" t="inlineStr">
        <is>
          <t>SUP004</t>
        </is>
      </c>
      <c r="E462" s="7">
        <f>IF(E462="","Unknown Supplier",TRIM(E462))</f>
        <v/>
      </c>
      <c r="F462" s="7">
        <f>IF(F462="","Unclassified",TRIM(F462))</f>
        <v/>
      </c>
      <c r="G462" s="7" t="inlineStr">
        <is>
          <t>IT consulting</t>
        </is>
      </c>
      <c r="H462" s="7" t="inlineStr">
        <is>
          <t>Corporate</t>
        </is>
      </c>
      <c r="I462" s="7" t="inlineStr">
        <is>
          <t>North</t>
        </is>
      </c>
      <c r="J462" s="7" t="n">
        <v>88</v>
      </c>
      <c r="K462" s="7" t="n">
        <v>80.33</v>
      </c>
      <c r="L462" s="7" t="n">
        <v>7069.16</v>
      </c>
      <c r="M462" s="7" t="inlineStr">
        <is>
          <t>Pending</t>
        </is>
      </c>
      <c r="N462" s="7">
        <f>IF(OR(E462="Apex Office Supplies",E462="Apex Office Supply Ltd"),"Apex Office Supplies",IF(OR(E462="Northstar IT Services",E462="North Star IT Svc"),"Northstar IT Services",IF(OR(E462="Metro Logistics",E462="Metro Logistics Pvt Ltd"),"Metro Logistics",E462)))</f>
        <v/>
      </c>
      <c r="O462" s="7">
        <f>IF(AND(ISNUMBER(L462),L462&gt;0),"Valid","Review")</f>
        <v/>
      </c>
      <c r="P462" s="7">
        <f>IF(OR(E462="",F462="",NOT(ISNUMBER(L462))),"Check Missing/Invalid Data","OK")</f>
        <v/>
      </c>
    </row>
    <row r="463">
      <c r="A463" s="7" t="inlineStr">
        <is>
          <t>PO-00018</t>
        </is>
      </c>
      <c r="B463" s="9" t="n">
        <v>45948</v>
      </c>
      <c r="C463" s="7" t="inlineStr">
        <is>
          <t>Goods Receipt</t>
        </is>
      </c>
      <c r="D463" s="7" t="inlineStr">
        <is>
          <t>SUP002</t>
        </is>
      </c>
      <c r="E463" s="7">
        <f>IF(E463="","Unknown Supplier",TRIM(E463))</f>
        <v/>
      </c>
      <c r="F463" s="7">
        <f>IF(F463="","Unclassified",TRIM(F463))</f>
        <v/>
      </c>
      <c r="G463" s="7" t="inlineStr">
        <is>
          <t>Printer paper</t>
        </is>
      </c>
      <c r="H463" s="7" t="inlineStr">
        <is>
          <t>Operations</t>
        </is>
      </c>
      <c r="I463" s="7" t="inlineStr">
        <is>
          <t>West</t>
        </is>
      </c>
      <c r="J463" s="7" t="n">
        <v>9</v>
      </c>
      <c r="K463" s="7" t="n">
        <v>978.83</v>
      </c>
      <c r="L463" s="7" t="n">
        <v>8809.51</v>
      </c>
      <c r="M463" s="7" t="inlineStr">
        <is>
          <t>Overdue</t>
        </is>
      </c>
      <c r="N463" s="7">
        <f>IF(OR(E463="Apex Office Supplies",E463="Apex Office Supply Ltd"),"Apex Office Supplies",IF(OR(E463="Northstar IT Services",E463="North Star IT Svc"),"Northstar IT Services",IF(OR(E463="Metro Logistics",E463="Metro Logistics Pvt Ltd"),"Metro Logistics",E463)))</f>
        <v/>
      </c>
      <c r="O463" s="7">
        <f>IF(AND(ISNUMBER(L463),L463&gt;0),"Valid","Review")</f>
        <v/>
      </c>
      <c r="P463" s="7">
        <f>IF(OR(E463="",F463="",NOT(ISNUMBER(L463))),"Check Missing/Invalid Data","OK")</f>
        <v/>
      </c>
    </row>
    <row r="464">
      <c r="A464" s="7" t="inlineStr">
        <is>
          <t>PO-00277</t>
        </is>
      </c>
      <c r="B464" s="9" t="n">
        <v>45948</v>
      </c>
      <c r="C464" s="7" t="inlineStr">
        <is>
          <t>Invoice</t>
        </is>
      </c>
      <c r="D464" s="7" t="inlineStr">
        <is>
          <t>SUP008</t>
        </is>
      </c>
      <c r="E464" s="7">
        <f>IF(E464="","Unknown Supplier",TRIM(E464))</f>
        <v/>
      </c>
      <c r="F464" s="7">
        <f>IF(F464="","Unclassified",TRIM(F464))</f>
        <v/>
      </c>
      <c r="G464" s="7" t="inlineStr">
        <is>
          <t>Labels</t>
        </is>
      </c>
      <c r="H464" s="7" t="inlineStr">
        <is>
          <t>Manufacturing</t>
        </is>
      </c>
      <c r="I464" s="7" t="inlineStr">
        <is>
          <t>North</t>
        </is>
      </c>
      <c r="J464" s="7" t="n">
        <v>88</v>
      </c>
      <c r="K464" s="7" t="n">
        <v>189.14</v>
      </c>
      <c r="L464" s="7" t="n">
        <v>16643.97</v>
      </c>
      <c r="M464" s="7" t="inlineStr">
        <is>
          <t>Paid</t>
        </is>
      </c>
      <c r="N464" s="7">
        <f>IF(OR(E464="Apex Office Supplies",E464="Apex Office Supply Ltd"),"Apex Office Supplies",IF(OR(E464="Northstar IT Services",E464="North Star IT Svc"),"Northstar IT Services",IF(OR(E464="Metro Logistics",E464="Metro Logistics Pvt Ltd"),"Metro Logistics",E464)))</f>
        <v/>
      </c>
      <c r="O464" s="7">
        <f>IF(AND(ISNUMBER(L464),L464&gt;0),"Valid","Review")</f>
        <v/>
      </c>
      <c r="P464" s="7">
        <f>IF(OR(E464="",F464="",NOT(ISNUMBER(L464))),"Check Missing/Invalid Data","OK")</f>
        <v/>
      </c>
    </row>
    <row r="465">
      <c r="A465" s="7" t="inlineStr">
        <is>
          <t>PO-00490</t>
        </is>
      </c>
      <c r="B465" s="9" t="n">
        <v>45948</v>
      </c>
      <c r="C465" s="7" t="inlineStr">
        <is>
          <t>Invoice</t>
        </is>
      </c>
      <c r="D465" s="7" t="inlineStr">
        <is>
          <t>SUP001</t>
        </is>
      </c>
      <c r="E465" s="7">
        <f>IF(E465="","Unknown Supplier",TRIM(E465))</f>
        <v/>
      </c>
      <c r="F465" s="7">
        <f>IF(F465="","Unclassified",TRIM(F465))</f>
        <v/>
      </c>
      <c r="G465" s="7" t="inlineStr">
        <is>
          <t>Toner cartridges</t>
        </is>
      </c>
      <c r="H465" s="7" t="inlineStr">
        <is>
          <t>Manufacturing</t>
        </is>
      </c>
      <c r="I465" s="7" t="inlineStr">
        <is>
          <t>North</t>
        </is>
      </c>
      <c r="J465" s="7" t="n">
        <v>71</v>
      </c>
      <c r="K465" s="7" t="n">
        <v>236.49</v>
      </c>
      <c r="L465" s="7" t="n">
        <v>16790.77</v>
      </c>
      <c r="M465" s="7" t="inlineStr">
        <is>
          <t>Pending</t>
        </is>
      </c>
      <c r="N465" s="7">
        <f>IF(OR(E465="Apex Office Supplies",E465="Apex Office Supply Ltd"),"Apex Office Supplies",IF(OR(E465="Northstar IT Services",E465="North Star IT Svc"),"Northstar IT Services",IF(OR(E465="Metro Logistics",E465="Metro Logistics Pvt Ltd"),"Metro Logistics",E465)))</f>
        <v/>
      </c>
      <c r="O465" s="7">
        <f>IF(AND(ISNUMBER(L465),L465&gt;0),"Valid","Review")</f>
        <v/>
      </c>
      <c r="P465" s="7">
        <f>IF(OR(E465="",F465="",NOT(ISNUMBER(L465))),"Check Missing/Invalid Data","OK")</f>
        <v/>
      </c>
    </row>
    <row r="466">
      <c r="A466" s="7" t="inlineStr">
        <is>
          <t>PO-00408</t>
        </is>
      </c>
      <c r="B466" s="9" t="n">
        <v>45949</v>
      </c>
      <c r="C466" s="7" t="inlineStr">
        <is>
          <t>Purchase Order</t>
        </is>
      </c>
      <c r="D466" s="7" t="inlineStr">
        <is>
          <t>SUP001</t>
        </is>
      </c>
      <c r="E466" s="7">
        <f>IF(E466="","Unknown Supplier",TRIM(E466))</f>
        <v/>
      </c>
      <c r="F466" s="7">
        <f>IF(F466="","Unclassified",TRIM(F466))</f>
        <v/>
      </c>
      <c r="G466" s="7" t="inlineStr">
        <is>
          <t>Printer paper</t>
        </is>
      </c>
      <c r="H466" s="7" t="inlineStr">
        <is>
          <t>Corporate</t>
        </is>
      </c>
      <c r="I466" s="7" t="inlineStr">
        <is>
          <t>West</t>
        </is>
      </c>
      <c r="J466" s="7" t="n">
        <v>26</v>
      </c>
      <c r="K466" s="7" t="n">
        <v>606.47</v>
      </c>
      <c r="L466" s="7" t="n">
        <v>15768.23</v>
      </c>
      <c r="M466" s="7" t="inlineStr">
        <is>
          <t>Paid</t>
        </is>
      </c>
      <c r="N466" s="7">
        <f>IF(OR(E466="Apex Office Supplies",E466="Apex Office Supply Ltd"),"Apex Office Supplies",IF(OR(E466="Northstar IT Services",E466="North Star IT Svc"),"Northstar IT Services",IF(OR(E466="Metro Logistics",E466="Metro Logistics Pvt Ltd"),"Metro Logistics",E466)))</f>
        <v/>
      </c>
      <c r="O466" s="7">
        <f>IF(AND(ISNUMBER(L466),L466&gt;0),"Valid","Review")</f>
        <v/>
      </c>
      <c r="P466" s="7">
        <f>IF(OR(E466="",F466="",NOT(ISNUMBER(L466))),"Check Missing/Invalid Data","OK")</f>
        <v/>
      </c>
    </row>
    <row r="467">
      <c r="A467" s="7" t="inlineStr">
        <is>
          <t>PO-00050</t>
        </is>
      </c>
      <c r="B467" s="9" t="n">
        <v>45949</v>
      </c>
      <c r="C467" s="7" t="inlineStr">
        <is>
          <t>Invoice</t>
        </is>
      </c>
      <c r="D467" s="7" t="inlineStr">
        <is>
          <t>SUP005</t>
        </is>
      </c>
      <c r="E467" s="7">
        <f>IF(E467="","Unknown Supplier",TRIM(E467))</f>
        <v/>
      </c>
      <c r="F467" s="7">
        <f>IF(F467="","Unclassified",TRIM(F467))</f>
        <v/>
      </c>
      <c r="G467" s="7" t="inlineStr">
        <is>
          <t>Freight services</t>
        </is>
      </c>
      <c r="H467" s="7" t="inlineStr">
        <is>
          <t>Sales</t>
        </is>
      </c>
      <c r="I467" s="7" t="inlineStr">
        <is>
          <t>East</t>
        </is>
      </c>
      <c r="J467" s="7" t="n">
        <v>39</v>
      </c>
      <c r="K467" s="7" t="n">
        <v>655.02</v>
      </c>
      <c r="L467" s="7" t="n">
        <v>25545.91</v>
      </c>
      <c r="M467" s="7" t="inlineStr">
        <is>
          <t>Pending</t>
        </is>
      </c>
      <c r="N467" s="7">
        <f>IF(OR(E467="Apex Office Supplies",E467="Apex Office Supply Ltd"),"Apex Office Supplies",IF(OR(E467="Northstar IT Services",E467="North Star IT Svc"),"Northstar IT Services",IF(OR(E467="Metro Logistics",E467="Metro Logistics Pvt Ltd"),"Metro Logistics",E467)))</f>
        <v/>
      </c>
      <c r="O467" s="7">
        <f>IF(AND(ISNUMBER(L467),L467&gt;0),"Valid","Review")</f>
        <v/>
      </c>
      <c r="P467" s="7">
        <f>IF(OR(E467="",F467="",NOT(ISNUMBER(L467))),"Check Missing/Invalid Data","OK")</f>
        <v/>
      </c>
    </row>
    <row r="468">
      <c r="A468" s="7" t="inlineStr">
        <is>
          <t>PO-00596</t>
        </is>
      </c>
      <c r="B468" s="9" t="n">
        <v>45950</v>
      </c>
      <c r="C468" s="7" t="inlineStr">
        <is>
          <t>Goods Receipt</t>
        </is>
      </c>
      <c r="D468" s="7" t="inlineStr">
        <is>
          <t>SUP007</t>
        </is>
      </c>
      <c r="E468" s="7">
        <f>IF(E468="","Unknown Supplier",TRIM(E468))</f>
        <v/>
      </c>
      <c r="F468" s="7">
        <f>IF(F468="","Unclassified",TRIM(F468))</f>
        <v/>
      </c>
      <c r="G468" s="7" t="inlineStr">
        <is>
          <t>Facility maintenance</t>
        </is>
      </c>
      <c r="H468" s="7" t="inlineStr">
        <is>
          <t>Sales</t>
        </is>
      </c>
      <c r="I468" s="7" t="inlineStr">
        <is>
          <t>South</t>
        </is>
      </c>
      <c r="J468" s="7" t="n">
        <v>10</v>
      </c>
      <c r="K468" s="7" t="n">
        <v>400.78</v>
      </c>
      <c r="L468" s="7" t="n">
        <v>4007.78</v>
      </c>
      <c r="M468" s="7" t="inlineStr">
        <is>
          <t>Pending</t>
        </is>
      </c>
      <c r="N468" s="7">
        <f>IF(OR(E468="Apex Office Supplies",E468="Apex Office Supply Ltd"),"Apex Office Supplies",IF(OR(E468="Northstar IT Services",E468="North Star IT Svc"),"Northstar IT Services",IF(OR(E468="Metro Logistics",E468="Metro Logistics Pvt Ltd"),"Metro Logistics",E468)))</f>
        <v/>
      </c>
      <c r="O468" s="7">
        <f>IF(AND(ISNUMBER(L468),L468&gt;0),"Valid","Review")</f>
        <v/>
      </c>
      <c r="P468" s="7">
        <f>IF(OR(E468="",F468="",NOT(ISNUMBER(L468))),"Check Missing/Invalid Data","OK")</f>
        <v/>
      </c>
    </row>
    <row r="469">
      <c r="A469" s="7" t="inlineStr">
        <is>
          <t>PO-00023</t>
        </is>
      </c>
      <c r="B469" s="9" t="n">
        <v>45950</v>
      </c>
      <c r="C469" s="7" t="inlineStr">
        <is>
          <t>Invoice</t>
        </is>
      </c>
      <c r="D469" s="7" t="inlineStr">
        <is>
          <t>SUP010</t>
        </is>
      </c>
      <c r="E469" s="7">
        <f>IF(E469="","Unknown Supplier",TRIM(E469))</f>
        <v/>
      </c>
      <c r="F469" s="7">
        <f>IF(F469="","Unclassified",TRIM(F469))</f>
        <v/>
      </c>
      <c r="G469" s="7" t="inlineStr">
        <is>
          <t>Electricity</t>
        </is>
      </c>
      <c r="H469" s="7" t="inlineStr">
        <is>
          <t>Corporate</t>
        </is>
      </c>
      <c r="I469" s="7" t="inlineStr">
        <is>
          <t>North</t>
        </is>
      </c>
      <c r="J469" s="7" t="n">
        <v>104</v>
      </c>
      <c r="K469" s="7" t="n">
        <v>136.05</v>
      </c>
      <c r="L469" s="7" t="n">
        <v>14149</v>
      </c>
      <c r="M469" s="7" t="inlineStr">
        <is>
          <t>Overdue</t>
        </is>
      </c>
      <c r="N469" s="7">
        <f>IF(OR(E469="Apex Office Supplies",E469="Apex Office Supply Ltd"),"Apex Office Supplies",IF(OR(E469="Northstar IT Services",E469="North Star IT Svc"),"Northstar IT Services",IF(OR(E469="Metro Logistics",E469="Metro Logistics Pvt Ltd"),"Metro Logistics",E469)))</f>
        <v/>
      </c>
      <c r="O469" s="7">
        <f>IF(AND(ISNUMBER(L469),L469&gt;0),"Valid","Review")</f>
        <v/>
      </c>
      <c r="P469" s="7">
        <f>IF(OR(E469="",F469="",NOT(ISNUMBER(L469))),"Check Missing/Invalid Data","OK")</f>
        <v/>
      </c>
    </row>
    <row r="470">
      <c r="A470" s="7" t="inlineStr">
        <is>
          <t>PO-00488</t>
        </is>
      </c>
      <c r="B470" s="9" t="n">
        <v>45951</v>
      </c>
      <c r="C470" s="7" t="inlineStr">
        <is>
          <t>Invoice</t>
        </is>
      </c>
      <c r="D470" s="7" t="inlineStr">
        <is>
          <t>SUP010</t>
        </is>
      </c>
      <c r="E470" s="7">
        <f>IF(E470="","Unknown Supplier",TRIM(E470))</f>
        <v/>
      </c>
      <c r="F470" s="7">
        <f>IF(F470="","Unclassified",TRIM(F470))</f>
        <v/>
      </c>
      <c r="G470" s="7" t="inlineStr">
        <is>
          <t>Electricity</t>
        </is>
      </c>
      <c r="H470" s="7" t="inlineStr">
        <is>
          <t>Technology</t>
        </is>
      </c>
      <c r="I470" s="7" t="inlineStr">
        <is>
          <t>South</t>
        </is>
      </c>
      <c r="J470" s="7" t="n">
        <v>11</v>
      </c>
      <c r="K470" s="7" t="n">
        <v>900.89</v>
      </c>
      <c r="L470" s="7" t="n">
        <v>9909.76</v>
      </c>
      <c r="M470" s="7" t="inlineStr">
        <is>
          <t>Pending</t>
        </is>
      </c>
      <c r="N470" s="7">
        <f>IF(OR(E470="Apex Office Supplies",E470="Apex Office Supply Ltd"),"Apex Office Supplies",IF(OR(E470="Northstar IT Services",E470="North Star IT Svc"),"Northstar IT Services",IF(OR(E470="Metro Logistics",E470="Metro Logistics Pvt Ltd"),"Metro Logistics",E470)))</f>
        <v/>
      </c>
      <c r="O470" s="7">
        <f>IF(AND(ISNUMBER(L470),L470&gt;0),"Valid","Review")</f>
        <v/>
      </c>
      <c r="P470" s="7">
        <f>IF(OR(E470="",F470="",NOT(ISNUMBER(L470))),"Check Missing/Invalid Data","OK")</f>
        <v/>
      </c>
    </row>
    <row r="471">
      <c r="A471" s="7" t="inlineStr">
        <is>
          <t>PO-00452</t>
        </is>
      </c>
      <c r="B471" s="9" t="n">
        <v>45951</v>
      </c>
      <c r="C471" s="7" t="inlineStr">
        <is>
          <t>Purchase Order</t>
        </is>
      </c>
      <c r="D471" s="7" t="inlineStr">
        <is>
          <t>SUP008</t>
        </is>
      </c>
      <c r="E471" s="7">
        <f>IF(E471="","Unknown Supplier",TRIM(E471))</f>
        <v/>
      </c>
      <c r="F471" s="7">
        <f>IF(F471="","Unclassified",TRIM(F471))</f>
        <v/>
      </c>
      <c r="G471" s="7" t="inlineStr">
        <is>
          <t>Protective packaging</t>
        </is>
      </c>
      <c r="H471" s="7" t="inlineStr">
        <is>
          <t>Corporate</t>
        </is>
      </c>
      <c r="I471" s="7" t="inlineStr">
        <is>
          <t>North</t>
        </is>
      </c>
      <c r="J471" s="7" t="n">
        <v>41</v>
      </c>
      <c r="K471" s="7" t="n">
        <v>220.3</v>
      </c>
      <c r="L471" s="7" t="n">
        <v>9032.4</v>
      </c>
      <c r="M471" s="7" t="inlineStr">
        <is>
          <t>Pending</t>
        </is>
      </c>
      <c r="N471" s="7">
        <f>IF(OR(E471="Apex Office Supplies",E471="Apex Office Supply Ltd"),"Apex Office Supplies",IF(OR(E471="Northstar IT Services",E471="North Star IT Svc"),"Northstar IT Services",IF(OR(E471="Metro Logistics",E471="Metro Logistics Pvt Ltd"),"Metro Logistics",E471)))</f>
        <v/>
      </c>
      <c r="O471" s="7">
        <f>IF(AND(ISNUMBER(L471),L471&gt;0),"Valid","Review")</f>
        <v/>
      </c>
      <c r="P471" s="7">
        <f>IF(OR(E471="",F471="",NOT(ISNUMBER(L471))),"Check Missing/Invalid Data","OK")</f>
        <v/>
      </c>
    </row>
    <row r="472">
      <c r="A472" s="7" t="inlineStr">
        <is>
          <t>PO-00255</t>
        </is>
      </c>
      <c r="B472" s="9" t="n">
        <v>45952</v>
      </c>
      <c r="C472" s="7" t="inlineStr">
        <is>
          <t>Invoice</t>
        </is>
      </c>
      <c r="D472" s="7" t="inlineStr">
        <is>
          <t>SUP006</t>
        </is>
      </c>
      <c r="E472" s="7">
        <f>IF(E472="","Unknown Supplier",TRIM(E472))</f>
        <v/>
      </c>
      <c r="F472" s="7">
        <f>IF(F472="","Unclassified",TRIM(F472))</f>
        <v/>
      </c>
      <c r="G472" s="7" t="inlineStr">
        <is>
          <t>Freight services</t>
        </is>
      </c>
      <c r="H472" s="7" t="inlineStr">
        <is>
          <t>Technology</t>
        </is>
      </c>
      <c r="I472" s="7" t="inlineStr">
        <is>
          <t>South</t>
        </is>
      </c>
      <c r="J472" s="7" t="n">
        <v>105</v>
      </c>
      <c r="K472" s="7" t="n">
        <v>225.58</v>
      </c>
      <c r="L472" s="7" t="n">
        <v>23686.07</v>
      </c>
      <c r="M472" s="7" t="inlineStr">
        <is>
          <t>Overdue</t>
        </is>
      </c>
      <c r="N472" s="7">
        <f>IF(OR(E472="Apex Office Supplies",E472="Apex Office Supply Ltd"),"Apex Office Supplies",IF(OR(E472="Northstar IT Services",E472="North Star IT Svc"),"Northstar IT Services",IF(OR(E472="Metro Logistics",E472="Metro Logistics Pvt Ltd"),"Metro Logistics",E472)))</f>
        <v/>
      </c>
      <c r="O472" s="7">
        <f>IF(AND(ISNUMBER(L472),L472&gt;0),"Valid","Review")</f>
        <v/>
      </c>
      <c r="P472" s="7">
        <f>IF(OR(E472="",F472="",NOT(ISNUMBER(L472))),"Check Missing/Invalid Data","OK")</f>
        <v/>
      </c>
    </row>
    <row r="473">
      <c r="A473" s="7" t="inlineStr">
        <is>
          <t>PO-00530</t>
        </is>
      </c>
      <c r="B473" s="9" t="n">
        <v>45952</v>
      </c>
      <c r="C473" s="7" t="inlineStr">
        <is>
          <t>Goods Receipt</t>
        </is>
      </c>
      <c r="D473" s="7" t="inlineStr">
        <is>
          <t>SUP001</t>
        </is>
      </c>
      <c r="E473" s="7">
        <f>IF(E473="","Unknown Supplier",TRIM(E473))</f>
        <v/>
      </c>
      <c r="F473" s="7">
        <f>IF(F473="","Unclassified",TRIM(F473))</f>
        <v/>
      </c>
      <c r="G473" s="7" t="inlineStr">
        <is>
          <t>Printer paper</t>
        </is>
      </c>
      <c r="H473" s="7" t="inlineStr">
        <is>
          <t>Manufacturing</t>
        </is>
      </c>
      <c r="I473" s="7" t="inlineStr">
        <is>
          <t>East</t>
        </is>
      </c>
      <c r="J473" s="7" t="n">
        <v>14</v>
      </c>
      <c r="K473" s="7" t="n">
        <v>528.54</v>
      </c>
      <c r="L473" s="7" t="n">
        <v>7399.57</v>
      </c>
      <c r="M473" s="7" t="inlineStr">
        <is>
          <t>Pending</t>
        </is>
      </c>
      <c r="N473" s="7">
        <f>IF(OR(E473="Apex Office Supplies",E473="Apex Office Supply Ltd"),"Apex Office Supplies",IF(OR(E473="Northstar IT Services",E473="North Star IT Svc"),"Northstar IT Services",IF(OR(E473="Metro Logistics",E473="Metro Logistics Pvt Ltd"),"Metro Logistics",E473)))</f>
        <v/>
      </c>
      <c r="O473" s="7">
        <f>IF(AND(ISNUMBER(L473),L473&gt;0),"Valid","Review")</f>
        <v/>
      </c>
      <c r="P473" s="7">
        <f>IF(OR(E473="",F473="",NOT(ISNUMBER(L473))),"Check Missing/Invalid Data","OK")</f>
        <v/>
      </c>
    </row>
    <row r="474">
      <c r="A474" s="7" t="inlineStr">
        <is>
          <t>PO-00093</t>
        </is>
      </c>
      <c r="B474" s="9" t="n">
        <v>45952</v>
      </c>
      <c r="C474" s="7" t="inlineStr">
        <is>
          <t>Invoice</t>
        </is>
      </c>
      <c r="D474" s="7" t="inlineStr">
        <is>
          <t>SUP010</t>
        </is>
      </c>
      <c r="E474" s="7">
        <f>IF(E474="","Unknown Supplier",TRIM(E474))</f>
        <v/>
      </c>
      <c r="F474" s="7">
        <f>IF(F474="","Unclassified",TRIM(F474))</f>
        <v/>
      </c>
      <c r="G474" s="7" t="inlineStr">
        <is>
          <t>Natural gas</t>
        </is>
      </c>
      <c r="H474" s="7" t="inlineStr">
        <is>
          <t>Corporate</t>
        </is>
      </c>
      <c r="I474" s="7" t="inlineStr">
        <is>
          <t>South</t>
        </is>
      </c>
      <c r="J474" s="7" t="n">
        <v>87</v>
      </c>
      <c r="K474" s="7" t="n">
        <v>206.81</v>
      </c>
      <c r="L474" s="7" t="n">
        <v>17992.35</v>
      </c>
      <c r="M474" s="7" t="inlineStr">
        <is>
          <t>Pending</t>
        </is>
      </c>
      <c r="N474" s="7">
        <f>IF(OR(E474="Apex Office Supplies",E474="Apex Office Supply Ltd"),"Apex Office Supplies",IF(OR(E474="Northstar IT Services",E474="North Star IT Svc"),"Northstar IT Services",IF(OR(E474="Metro Logistics",E474="Metro Logistics Pvt Ltd"),"Metro Logistics",E474)))</f>
        <v/>
      </c>
      <c r="O474" s="7">
        <f>IF(AND(ISNUMBER(L474),L474&gt;0),"Valid","Review")</f>
        <v/>
      </c>
      <c r="P474" s="7">
        <f>IF(OR(E474="",F474="",NOT(ISNUMBER(L474))),"Check Missing/Invalid Data","OK")</f>
        <v/>
      </c>
    </row>
    <row r="475">
      <c r="A475" s="7" t="inlineStr">
        <is>
          <t>PO-00201</t>
        </is>
      </c>
      <c r="B475" s="9" t="n">
        <v>45952</v>
      </c>
      <c r="C475" s="7" t="inlineStr">
        <is>
          <t>Invoice</t>
        </is>
      </c>
      <c r="D475" s="7" t="inlineStr">
        <is>
          <t>SUP002</t>
        </is>
      </c>
      <c r="E475" s="7">
        <f>IF(E475="","Unknown Supplier",TRIM(E475))</f>
        <v/>
      </c>
      <c r="F475" s="7">
        <f>IF(F475="","Unclassified",TRIM(F475))</f>
        <v/>
      </c>
      <c r="G475" s="7" t="inlineStr">
        <is>
          <t>Pens and stationery</t>
        </is>
      </c>
      <c r="H475" s="7" t="inlineStr">
        <is>
          <t>Manufacturing</t>
        </is>
      </c>
      <c r="I475" s="7" t="inlineStr">
        <is>
          <t>East</t>
        </is>
      </c>
      <c r="J475" s="7" t="n">
        <v>10</v>
      </c>
      <c r="K475" s="7" t="n">
        <v>578.85</v>
      </c>
      <c r="L475" s="7" t="n">
        <v>5788.45</v>
      </c>
      <c r="M475" s="7" t="inlineStr">
        <is>
          <t>Paid</t>
        </is>
      </c>
      <c r="N475" s="7">
        <f>IF(OR(E475="Apex Office Supplies",E475="Apex Office Supply Ltd"),"Apex Office Supplies",IF(OR(E475="Northstar IT Services",E475="North Star IT Svc"),"Northstar IT Services",IF(OR(E475="Metro Logistics",E475="Metro Logistics Pvt Ltd"),"Metro Logistics",E475)))</f>
        <v/>
      </c>
      <c r="O475" s="7">
        <f>IF(AND(ISNUMBER(L475),L475&gt;0),"Valid","Review")</f>
        <v/>
      </c>
      <c r="P475" s="7">
        <f>IF(OR(E475="",F475="",NOT(ISNUMBER(L475))),"Check Missing/Invalid Data","OK")</f>
        <v/>
      </c>
    </row>
    <row r="476">
      <c r="A476" s="7" t="inlineStr">
        <is>
          <t>PO-00326</t>
        </is>
      </c>
      <c r="B476" s="9" t="n">
        <v>45953</v>
      </c>
      <c r="C476" s="7" t="inlineStr">
        <is>
          <t>Goods Receipt</t>
        </is>
      </c>
      <c r="D476" s="7" t="inlineStr">
        <is>
          <t>SUP003</t>
        </is>
      </c>
      <c r="E476" s="7">
        <f>IF(E476="","Unknown Supplier",TRIM(E476))</f>
        <v/>
      </c>
      <c r="F476" s="7">
        <f>IF(F476="","Unclassified",TRIM(F476))</f>
        <v/>
      </c>
      <c r="G476" s="7" t="inlineStr">
        <is>
          <t>Software support</t>
        </is>
      </c>
      <c r="H476" s="7" t="inlineStr">
        <is>
          <t>Corporate</t>
        </is>
      </c>
      <c r="I476" s="7" t="inlineStr">
        <is>
          <t>North</t>
        </is>
      </c>
      <c r="J476" s="7" t="n">
        <v>44</v>
      </c>
      <c r="K476" s="7" t="n">
        <v>339.92</v>
      </c>
      <c r="L476" s="7" t="n">
        <v>14956.33</v>
      </c>
      <c r="M476" s="7" t="inlineStr">
        <is>
          <t>Overdue</t>
        </is>
      </c>
      <c r="N476" s="7">
        <f>IF(OR(E476="Apex Office Supplies",E476="Apex Office Supply Ltd"),"Apex Office Supplies",IF(OR(E476="Northstar IT Services",E476="North Star IT Svc"),"Northstar IT Services",IF(OR(E476="Metro Logistics",E476="Metro Logistics Pvt Ltd"),"Metro Logistics",E476)))</f>
        <v/>
      </c>
      <c r="O476" s="7">
        <f>IF(AND(ISNUMBER(L476),L476&gt;0),"Valid","Review")</f>
        <v/>
      </c>
      <c r="P476" s="7">
        <f>IF(OR(E476="",F476="",NOT(ISNUMBER(L476))),"Check Missing/Invalid Data","OK")</f>
        <v/>
      </c>
    </row>
    <row r="477">
      <c r="A477" s="7" t="inlineStr">
        <is>
          <t>PO-00166</t>
        </is>
      </c>
      <c r="B477" s="9" t="n">
        <v>45956</v>
      </c>
      <c r="C477" s="7" t="inlineStr">
        <is>
          <t>Goods Receipt</t>
        </is>
      </c>
      <c r="D477" s="7" t="inlineStr">
        <is>
          <t>SUP011</t>
        </is>
      </c>
      <c r="E477" s="7">
        <f>IF(E477="","Unknown Supplier",TRIM(E477))</f>
        <v/>
      </c>
      <c r="F477" s="7">
        <f>IF(F477="","Unclassified",TRIM(F477))</f>
        <v/>
      </c>
      <c r="G477" s="7" t="inlineStr">
        <is>
          <t>Promotional materials</t>
        </is>
      </c>
      <c r="H477" s="7" t="inlineStr">
        <is>
          <t>Sales</t>
        </is>
      </c>
      <c r="I477" s="7" t="inlineStr">
        <is>
          <t>South</t>
        </is>
      </c>
      <c r="J477" s="7" t="n">
        <v>84</v>
      </c>
      <c r="K477" s="7" t="n">
        <v>75.89</v>
      </c>
      <c r="L477" s="7" t="n">
        <v>6374.8</v>
      </c>
      <c r="M477" s="7" t="inlineStr">
        <is>
          <t>Overdue</t>
        </is>
      </c>
      <c r="N477" s="7">
        <f>IF(OR(E477="Apex Office Supplies",E477="Apex Office Supply Ltd"),"Apex Office Supplies",IF(OR(E477="Northstar IT Services",E477="North Star IT Svc"),"Northstar IT Services",IF(OR(E477="Metro Logistics",E477="Metro Logistics Pvt Ltd"),"Metro Logistics",E477)))</f>
        <v/>
      </c>
      <c r="O477" s="7">
        <f>IF(AND(ISNUMBER(L477),L477&gt;0),"Valid","Review")</f>
        <v/>
      </c>
      <c r="P477" s="7">
        <f>IF(OR(E477="",F477="",NOT(ISNUMBER(L477))),"Check Missing/Invalid Data","OK")</f>
        <v/>
      </c>
    </row>
    <row r="478">
      <c r="A478" s="7" t="inlineStr">
        <is>
          <t>PO-00040</t>
        </is>
      </c>
      <c r="B478" s="9" t="n">
        <v>45956</v>
      </c>
      <c r="C478" s="7" t="inlineStr">
        <is>
          <t>Invoice</t>
        </is>
      </c>
      <c r="D478" s="7" t="inlineStr">
        <is>
          <t>SUP009</t>
        </is>
      </c>
      <c r="E478" s="7">
        <f>IF(E478="","Unknown Supplier",TRIM(E478))</f>
        <v/>
      </c>
      <c r="F478" s="7">
        <f>IF(F478="","Unclassified",TRIM(F478))</f>
        <v/>
      </c>
      <c r="G478" s="7" t="inlineStr">
        <is>
          <t>Business consulting</t>
        </is>
      </c>
      <c r="H478" s="7" t="inlineStr">
        <is>
          <t>Technology</t>
        </is>
      </c>
      <c r="I478" s="7" t="inlineStr">
        <is>
          <t>South</t>
        </is>
      </c>
      <c r="J478" s="7" t="n">
        <v>40</v>
      </c>
      <c r="K478" s="7" t="n">
        <v>101.95</v>
      </c>
      <c r="L478" s="7" t="n">
        <v>4077.83</v>
      </c>
      <c r="M478" s="7" t="inlineStr">
        <is>
          <t>Overdue</t>
        </is>
      </c>
      <c r="N478" s="7">
        <f>IF(OR(E478="Apex Office Supplies",E478="Apex Office Supply Ltd"),"Apex Office Supplies",IF(OR(E478="Northstar IT Services",E478="North Star IT Svc"),"Northstar IT Services",IF(OR(E478="Metro Logistics",E478="Metro Logistics Pvt Ltd"),"Metro Logistics",E478)))</f>
        <v/>
      </c>
      <c r="O478" s="7">
        <f>IF(AND(ISNUMBER(L478),L478&gt;0),"Valid","Review")</f>
        <v/>
      </c>
      <c r="P478" s="7">
        <f>IF(OR(E478="",F478="",NOT(ISNUMBER(L478))),"Check Missing/Invalid Data","OK")</f>
        <v/>
      </c>
    </row>
    <row r="479">
      <c r="A479" s="7" t="inlineStr">
        <is>
          <t>PO-00574</t>
        </is>
      </c>
      <c r="B479" s="9" t="n">
        <v>45957</v>
      </c>
      <c r="C479" s="7" t="inlineStr">
        <is>
          <t>Goods Receipt</t>
        </is>
      </c>
      <c r="D479" s="7" t="inlineStr">
        <is>
          <t>SUP002</t>
        </is>
      </c>
      <c r="E479" s="7">
        <f>IF(E479="","Unknown Supplier",TRIM(E479))</f>
        <v/>
      </c>
      <c r="F479" s="7">
        <f>IF(F479="","Unclassified",TRIM(F479))</f>
        <v/>
      </c>
      <c r="G479" s="7" t="inlineStr">
        <is>
          <t>Toner cartridges</t>
        </is>
      </c>
      <c r="H479" s="7" t="inlineStr">
        <is>
          <t>Sales</t>
        </is>
      </c>
      <c r="I479" s="7" t="inlineStr">
        <is>
          <t>South</t>
        </is>
      </c>
      <c r="J479" s="7" t="n">
        <v>6</v>
      </c>
      <c r="K479" s="7" t="n">
        <v>744.41</v>
      </c>
      <c r="L479" s="7" t="n">
        <v>4466.44</v>
      </c>
      <c r="M479" s="7" t="inlineStr">
        <is>
          <t>Pending</t>
        </is>
      </c>
      <c r="N479" s="7">
        <f>IF(OR(E479="Apex Office Supplies",E479="Apex Office Supply Ltd"),"Apex Office Supplies",IF(OR(E479="Northstar IT Services",E479="North Star IT Svc"),"Northstar IT Services",IF(OR(E479="Metro Logistics",E479="Metro Logistics Pvt Ltd"),"Metro Logistics",E479)))</f>
        <v/>
      </c>
      <c r="O479" s="7">
        <f>IF(AND(ISNUMBER(L479),L479&gt;0),"Valid","Review")</f>
        <v/>
      </c>
      <c r="P479" s="7">
        <f>IF(OR(E479="",F479="",NOT(ISNUMBER(L479))),"Check Missing/Invalid Data","OK")</f>
        <v/>
      </c>
    </row>
    <row r="480">
      <c r="A480" s="7" t="inlineStr">
        <is>
          <t>PO-00030</t>
        </is>
      </c>
      <c r="B480" s="9" t="n">
        <v>45957</v>
      </c>
      <c r="C480" s="7" t="inlineStr">
        <is>
          <t>Purchase Order</t>
        </is>
      </c>
      <c r="D480" s="7" t="inlineStr">
        <is>
          <t>SUP008</t>
        </is>
      </c>
      <c r="E480" s="7">
        <f>IF(E480="","Unknown Supplier",TRIM(E480))</f>
        <v/>
      </c>
      <c r="F480" s="7">
        <f>IF(F480="","Unclassified",TRIM(F480))</f>
        <v/>
      </c>
      <c r="G480" s="7" t="inlineStr">
        <is>
          <t>Labels</t>
        </is>
      </c>
      <c r="H480" s="7" t="inlineStr">
        <is>
          <t>Corporate</t>
        </is>
      </c>
      <c r="I480" s="7" t="inlineStr">
        <is>
          <t>South</t>
        </is>
      </c>
      <c r="J480" s="7" t="n">
        <v>21</v>
      </c>
      <c r="K480" s="7" t="n">
        <v>731.74</v>
      </c>
      <c r="L480" s="7" t="n">
        <v>15366.63</v>
      </c>
      <c r="M480" s="7" t="inlineStr">
        <is>
          <t>Paid</t>
        </is>
      </c>
      <c r="N480" s="7">
        <f>IF(OR(E480="Apex Office Supplies",E480="Apex Office Supply Ltd"),"Apex Office Supplies",IF(OR(E480="Northstar IT Services",E480="North Star IT Svc"),"Northstar IT Services",IF(OR(E480="Metro Logistics",E480="Metro Logistics Pvt Ltd"),"Metro Logistics",E480)))</f>
        <v/>
      </c>
      <c r="O480" s="7">
        <f>IF(AND(ISNUMBER(L480),L480&gt;0),"Valid","Review")</f>
        <v/>
      </c>
      <c r="P480" s="7">
        <f>IF(OR(E480="",F480="",NOT(ISNUMBER(L480))),"Check Missing/Invalid Data","OK")</f>
        <v/>
      </c>
    </row>
    <row r="481">
      <c r="A481" s="7" t="inlineStr">
        <is>
          <t>PO-00012</t>
        </is>
      </c>
      <c r="B481" s="9" t="n">
        <v>45957</v>
      </c>
      <c r="C481" s="7" t="inlineStr">
        <is>
          <t>Purchase Order</t>
        </is>
      </c>
      <c r="D481" s="7" t="inlineStr">
        <is>
          <t>SUP007</t>
        </is>
      </c>
      <c r="E481" s="7">
        <f>IF(E481="","Unknown Supplier",TRIM(E481))</f>
        <v/>
      </c>
      <c r="F481" s="7">
        <f>IF(F481="","Unclassified",TRIM(F481))</f>
        <v/>
      </c>
      <c r="G481" s="7" t="inlineStr">
        <is>
          <t>Security services</t>
        </is>
      </c>
      <c r="H481" s="7" t="inlineStr">
        <is>
          <t>Sales</t>
        </is>
      </c>
      <c r="I481" s="7" t="inlineStr">
        <is>
          <t>North</t>
        </is>
      </c>
      <c r="J481" s="7" t="n">
        <v>29</v>
      </c>
      <c r="K481" s="7" t="n">
        <v>250.39</v>
      </c>
      <c r="L481" s="7" t="n">
        <v>7261.28</v>
      </c>
      <c r="M481" s="7" t="inlineStr">
        <is>
          <t>Paid</t>
        </is>
      </c>
      <c r="N481" s="7">
        <f>IF(OR(E481="Apex Office Supplies",E481="Apex Office Supply Ltd"),"Apex Office Supplies",IF(OR(E481="Northstar IT Services",E481="North Star IT Svc"),"Northstar IT Services",IF(OR(E481="Metro Logistics",E481="Metro Logistics Pvt Ltd"),"Metro Logistics",E481)))</f>
        <v/>
      </c>
      <c r="O481" s="7">
        <f>IF(AND(ISNUMBER(L481),L481&gt;0),"Valid","Review")</f>
        <v/>
      </c>
      <c r="P481" s="7">
        <f>IF(OR(E481="",F481="",NOT(ISNUMBER(L481))),"Check Missing/Invalid Data","OK")</f>
        <v/>
      </c>
    </row>
    <row r="482">
      <c r="A482" s="7" t="inlineStr">
        <is>
          <t>PO-00115</t>
        </is>
      </c>
      <c r="B482" s="9" t="n">
        <v>45958</v>
      </c>
      <c r="C482" s="7" t="inlineStr">
        <is>
          <t>Invoice</t>
        </is>
      </c>
      <c r="D482" s="7" t="inlineStr">
        <is>
          <t>SUP005</t>
        </is>
      </c>
      <c r="E482" s="7">
        <f>IF(E482="","Unknown Supplier",TRIM(E482))</f>
        <v/>
      </c>
      <c r="F482" s="7">
        <f>IF(F482="","Unclassified",TRIM(F482))</f>
        <v/>
      </c>
      <c r="G482" s="7" t="inlineStr">
        <is>
          <t>Courier services</t>
        </is>
      </c>
      <c r="H482" s="7" t="inlineStr">
        <is>
          <t>Operations</t>
        </is>
      </c>
      <c r="I482" s="7" t="inlineStr">
        <is>
          <t>West</t>
        </is>
      </c>
      <c r="J482" s="7" t="n">
        <v>33</v>
      </c>
      <c r="K482" s="7" t="n">
        <v>397.01</v>
      </c>
      <c r="L482" s="7" t="n">
        <v>13101.29</v>
      </c>
      <c r="M482" s="7" t="inlineStr">
        <is>
          <t>Pending</t>
        </is>
      </c>
      <c r="N482" s="7">
        <f>IF(OR(E482="Apex Office Supplies",E482="Apex Office Supply Ltd"),"Apex Office Supplies",IF(OR(E482="Northstar IT Services",E482="North Star IT Svc"),"Northstar IT Services",IF(OR(E482="Metro Logistics",E482="Metro Logistics Pvt Ltd"),"Metro Logistics",E482)))</f>
        <v/>
      </c>
      <c r="O482" s="7">
        <f>IF(AND(ISNUMBER(L482),L482&gt;0),"Valid","Review")</f>
        <v/>
      </c>
      <c r="P482" s="7">
        <f>IF(OR(E482="",F482="",NOT(ISNUMBER(L482))),"Check Missing/Invalid Data","OK")</f>
        <v/>
      </c>
    </row>
    <row r="483">
      <c r="A483" s="7" t="inlineStr">
        <is>
          <t>PO-00086</t>
        </is>
      </c>
      <c r="B483" s="9" t="n">
        <v>45959</v>
      </c>
      <c r="C483" s="7" t="inlineStr">
        <is>
          <t>Goods Receipt</t>
        </is>
      </c>
      <c r="D483" s="7" t="inlineStr">
        <is>
          <t>SUP007</t>
        </is>
      </c>
      <c r="E483" s="7">
        <f>IF(E483="","Unknown Supplier",TRIM(E483))</f>
        <v/>
      </c>
      <c r="F483" s="7">
        <f>IF(F483="","Unclassified",TRIM(F483))</f>
        <v/>
      </c>
      <c r="G483" s="7" t="inlineStr">
        <is>
          <t>Cleaning services</t>
        </is>
      </c>
      <c r="H483" s="7" t="inlineStr">
        <is>
          <t>Operations</t>
        </is>
      </c>
      <c r="I483" s="7" t="inlineStr">
        <is>
          <t>South</t>
        </is>
      </c>
      <c r="J483" s="7" t="n">
        <v>79</v>
      </c>
      <c r="K483" s="7" t="n">
        <v>142.08</v>
      </c>
      <c r="L483" s="7" t="n">
        <v>11223.97</v>
      </c>
      <c r="M483" s="7" t="inlineStr">
        <is>
          <t>Pending</t>
        </is>
      </c>
      <c r="N483" s="7">
        <f>IF(OR(E483="Apex Office Supplies",E483="Apex Office Supply Ltd"),"Apex Office Supplies",IF(OR(E483="Northstar IT Services",E483="North Star IT Svc"),"Northstar IT Services",IF(OR(E483="Metro Logistics",E483="Metro Logistics Pvt Ltd"),"Metro Logistics",E483)))</f>
        <v/>
      </c>
      <c r="O483" s="7">
        <f>IF(AND(ISNUMBER(L483),L483&gt;0),"Valid","Review")</f>
        <v/>
      </c>
      <c r="P483" s="7">
        <f>IF(OR(E483="",F483="",NOT(ISNUMBER(L483))),"Check Missing/Invalid Data","OK")</f>
        <v/>
      </c>
    </row>
    <row r="484">
      <c r="A484" s="7" t="inlineStr">
        <is>
          <t>PO-00309</t>
        </is>
      </c>
      <c r="B484" s="9" t="n">
        <v>45960</v>
      </c>
      <c r="C484" s="7" t="inlineStr">
        <is>
          <t>Invoice</t>
        </is>
      </c>
      <c r="D484" s="7" t="inlineStr">
        <is>
          <t>SUP002</t>
        </is>
      </c>
      <c r="E484" s="7">
        <f>IF(E484="","Unknown Supplier",TRIM(E484))</f>
        <v/>
      </c>
      <c r="F484" s="7">
        <f>IF(F484="","Unclassified",TRIM(F484))</f>
        <v/>
      </c>
      <c r="G484" s="7" t="inlineStr">
        <is>
          <t>Printer paper</t>
        </is>
      </c>
      <c r="H484" s="7" t="inlineStr">
        <is>
          <t>Operations</t>
        </is>
      </c>
      <c r="I484" s="7" t="inlineStr">
        <is>
          <t>East</t>
        </is>
      </c>
      <c r="J484" s="7" t="n">
        <v>31</v>
      </c>
      <c r="K484" s="7" t="n">
        <v>184.51</v>
      </c>
      <c r="L484" s="7" t="n">
        <v>5719.76</v>
      </c>
      <c r="M484" s="7" t="inlineStr">
        <is>
          <t>Overdue</t>
        </is>
      </c>
      <c r="N484" s="7">
        <f>IF(OR(E484="Apex Office Supplies",E484="Apex Office Supply Ltd"),"Apex Office Supplies",IF(OR(E484="Northstar IT Services",E484="North Star IT Svc"),"Northstar IT Services",IF(OR(E484="Metro Logistics",E484="Metro Logistics Pvt Ltd"),"Metro Logistics",E484)))</f>
        <v/>
      </c>
      <c r="O484" s="7">
        <f>IF(AND(ISNUMBER(L484),L484&gt;0),"Valid","Review")</f>
        <v/>
      </c>
      <c r="P484" s="7">
        <f>IF(OR(E484="",F484="",NOT(ISNUMBER(L484))),"Check Missing/Invalid Data","OK")</f>
        <v/>
      </c>
    </row>
    <row r="485">
      <c r="A485" s="7" t="inlineStr">
        <is>
          <t>PO-00253</t>
        </is>
      </c>
      <c r="B485" s="9" t="n">
        <v>45962</v>
      </c>
      <c r="C485" s="7" t="inlineStr">
        <is>
          <t>Purchase Order</t>
        </is>
      </c>
      <c r="D485" s="7" t="inlineStr">
        <is>
          <t>SUP001</t>
        </is>
      </c>
      <c r="E485" s="7">
        <f>IF(E485="","Unknown Supplier",TRIM(E485))</f>
        <v/>
      </c>
      <c r="F485" s="7">
        <f>IF(F485="","Unclassified",TRIM(F485))</f>
        <v/>
      </c>
      <c r="G485" s="7" t="inlineStr">
        <is>
          <t>Printer paper</t>
        </is>
      </c>
      <c r="H485" s="7" t="inlineStr">
        <is>
          <t>Corporate</t>
        </is>
      </c>
      <c r="I485" s="7" t="inlineStr">
        <is>
          <t>West</t>
        </is>
      </c>
      <c r="J485" s="7" t="n">
        <v>112</v>
      </c>
      <c r="K485" s="7" t="n">
        <v>108.36</v>
      </c>
      <c r="L485" s="7" t="n">
        <v>12135.78</v>
      </c>
      <c r="M485" s="7" t="inlineStr">
        <is>
          <t>Pending</t>
        </is>
      </c>
      <c r="N485" s="7">
        <f>IF(OR(E485="Apex Office Supplies",E485="Apex Office Supply Ltd"),"Apex Office Supplies",IF(OR(E485="Northstar IT Services",E485="North Star IT Svc"),"Northstar IT Services",IF(OR(E485="Metro Logistics",E485="Metro Logistics Pvt Ltd"),"Metro Logistics",E485)))</f>
        <v/>
      </c>
      <c r="O485" s="7">
        <f>IF(AND(ISNUMBER(L485),L485&gt;0),"Valid","Review")</f>
        <v/>
      </c>
      <c r="P485" s="7">
        <f>IF(OR(E485="",F485="",NOT(ISNUMBER(L485))),"Check Missing/Invalid Data","OK")</f>
        <v/>
      </c>
    </row>
    <row r="486">
      <c r="A486" s="7" t="inlineStr">
        <is>
          <t>PO-00161</t>
        </is>
      </c>
      <c r="B486" s="9" t="n">
        <v>45962</v>
      </c>
      <c r="C486" s="7" t="inlineStr">
        <is>
          <t>Goods Receipt</t>
        </is>
      </c>
      <c r="D486" s="7" t="inlineStr">
        <is>
          <t>SUP009</t>
        </is>
      </c>
      <c r="E486" s="7">
        <f>IF(E486="","Unknown Supplier",TRIM(E486))</f>
        <v/>
      </c>
      <c r="F486" s="7">
        <f>IF(F486="","Unclassified",TRIM(F486))</f>
        <v/>
      </c>
      <c r="G486" s="7" t="inlineStr">
        <is>
          <t>Business consulting</t>
        </is>
      </c>
      <c r="H486" s="7" t="inlineStr">
        <is>
          <t>Sales</t>
        </is>
      </c>
      <c r="I486" s="7" t="inlineStr">
        <is>
          <t>South</t>
        </is>
      </c>
      <c r="J486" s="7" t="n">
        <v>102</v>
      </c>
      <c r="K486" s="7" t="n">
        <v>174.94</v>
      </c>
      <c r="L486" s="7" t="n">
        <v>17843.69</v>
      </c>
      <c r="M486" s="7" t="inlineStr">
        <is>
          <t>Pending</t>
        </is>
      </c>
      <c r="N486" s="7">
        <f>IF(OR(E486="Apex Office Supplies",E486="Apex Office Supply Ltd"),"Apex Office Supplies",IF(OR(E486="Northstar IT Services",E486="North Star IT Svc"),"Northstar IT Services",IF(OR(E486="Metro Logistics",E486="Metro Logistics Pvt Ltd"),"Metro Logistics",E486)))</f>
        <v/>
      </c>
      <c r="O486" s="7">
        <f>IF(AND(ISNUMBER(L486),L486&gt;0),"Valid","Review")</f>
        <v/>
      </c>
      <c r="P486" s="7">
        <f>IF(OR(E486="",F486="",NOT(ISNUMBER(L486))),"Check Missing/Invalid Data","OK")</f>
        <v/>
      </c>
    </row>
    <row r="487">
      <c r="A487" s="7" t="inlineStr">
        <is>
          <t>PO-00388</t>
        </is>
      </c>
      <c r="B487" s="9" t="n">
        <v>45962</v>
      </c>
      <c r="C487" s="7" t="inlineStr">
        <is>
          <t>Goods Receipt</t>
        </is>
      </c>
      <c r="D487" s="7" t="inlineStr">
        <is>
          <t>SUP010</t>
        </is>
      </c>
      <c r="E487" s="7">
        <f>IF(E487="","Unknown Supplier",TRIM(E487))</f>
        <v/>
      </c>
      <c r="F487" s="7">
        <f>IF(F487="","Unclassified",TRIM(F487))</f>
        <v/>
      </c>
      <c r="G487" s="7" t="inlineStr">
        <is>
          <t>Electricity</t>
        </is>
      </c>
      <c r="H487" s="7" t="inlineStr">
        <is>
          <t>Manufacturing</t>
        </is>
      </c>
      <c r="I487" s="7" t="inlineStr">
        <is>
          <t>West</t>
        </is>
      </c>
      <c r="J487" s="7" t="n">
        <v>56</v>
      </c>
      <c r="K487" s="7" t="n">
        <v>227.08</v>
      </c>
      <c r="L487" s="7" t="n">
        <v>12716.54</v>
      </c>
      <c r="M487" s="7" t="inlineStr">
        <is>
          <t>Paid</t>
        </is>
      </c>
      <c r="N487" s="7">
        <f>IF(OR(E487="Apex Office Supplies",E487="Apex Office Supply Ltd"),"Apex Office Supplies",IF(OR(E487="Northstar IT Services",E487="North Star IT Svc"),"Northstar IT Services",IF(OR(E487="Metro Logistics",E487="Metro Logistics Pvt Ltd"),"Metro Logistics",E487)))</f>
        <v/>
      </c>
      <c r="O487" s="7">
        <f>IF(AND(ISNUMBER(L487),L487&gt;0),"Valid","Review")</f>
        <v/>
      </c>
      <c r="P487" s="7">
        <f>IF(OR(E487="",F487="",NOT(ISNUMBER(L487))),"Check Missing/Invalid Data","OK")</f>
        <v/>
      </c>
    </row>
    <row r="488">
      <c r="A488" s="7" t="inlineStr">
        <is>
          <t>PO-00031</t>
        </is>
      </c>
      <c r="B488" s="9" t="n">
        <v>45962</v>
      </c>
      <c r="C488" s="7" t="inlineStr">
        <is>
          <t>Goods Receipt</t>
        </is>
      </c>
      <c r="D488" s="7" t="inlineStr">
        <is>
          <t>SUP002</t>
        </is>
      </c>
      <c r="E488" s="7">
        <f>IF(E488="","Unknown Supplier",TRIM(E488))</f>
        <v/>
      </c>
      <c r="F488" s="7">
        <f>IF(F488="","Unclassified",TRIM(F488))</f>
        <v/>
      </c>
      <c r="G488" s="7" t="inlineStr">
        <is>
          <t>Printer paper</t>
        </is>
      </c>
      <c r="H488" s="7" t="inlineStr">
        <is>
          <t>Manufacturing</t>
        </is>
      </c>
      <c r="I488" s="7" t="inlineStr">
        <is>
          <t>North</t>
        </is>
      </c>
      <c r="J488" s="7" t="n">
        <v>16</v>
      </c>
      <c r="K488" s="7" t="n">
        <v>270.34</v>
      </c>
      <c r="L488" s="7" t="n">
        <v>4325.45</v>
      </c>
      <c r="M488" s="7" t="inlineStr">
        <is>
          <t>Overdue</t>
        </is>
      </c>
      <c r="N488" s="7">
        <f>IF(OR(E488="Apex Office Supplies",E488="Apex Office Supply Ltd"),"Apex Office Supplies",IF(OR(E488="Northstar IT Services",E488="North Star IT Svc"),"Northstar IT Services",IF(OR(E488="Metro Logistics",E488="Metro Logistics Pvt Ltd"),"Metro Logistics",E488)))</f>
        <v/>
      </c>
      <c r="O488" s="7">
        <f>IF(AND(ISNUMBER(L488),L488&gt;0),"Valid","Review")</f>
        <v/>
      </c>
      <c r="P488" s="7">
        <f>IF(OR(E488="",F488="",NOT(ISNUMBER(L488))),"Check Missing/Invalid Data","OK")</f>
        <v/>
      </c>
    </row>
    <row r="489">
      <c r="A489" s="7" t="inlineStr">
        <is>
          <t>PO-00088</t>
        </is>
      </c>
      <c r="B489" s="9" t="n">
        <v>45962</v>
      </c>
      <c r="C489" s="7" t="inlineStr">
        <is>
          <t>Invoice</t>
        </is>
      </c>
      <c r="D489" s="7" t="inlineStr">
        <is>
          <t>SUP008</t>
        </is>
      </c>
      <c r="E489" s="7">
        <f>IF(E489="","Unknown Supplier",TRIM(E489))</f>
        <v/>
      </c>
      <c r="F489" s="7">
        <f>IF(F489="","Unclassified",TRIM(F489))</f>
        <v/>
      </c>
      <c r="G489" s="7" t="inlineStr">
        <is>
          <t>Labels</t>
        </is>
      </c>
      <c r="H489" s="7" t="inlineStr">
        <is>
          <t>Sales</t>
        </is>
      </c>
      <c r="I489" s="7" t="inlineStr">
        <is>
          <t>North</t>
        </is>
      </c>
      <c r="J489" s="7" t="n">
        <v>91</v>
      </c>
      <c r="K489" s="7" t="n">
        <v>46.8</v>
      </c>
      <c r="L489" s="7" t="n">
        <v>4258.8</v>
      </c>
      <c r="M489" s="7" t="inlineStr">
        <is>
          <t>Overdue</t>
        </is>
      </c>
      <c r="N489" s="7">
        <f>IF(OR(E489="Apex Office Supplies",E489="Apex Office Supply Ltd"),"Apex Office Supplies",IF(OR(E489="Northstar IT Services",E489="North Star IT Svc"),"Northstar IT Services",IF(OR(E489="Metro Logistics",E489="Metro Logistics Pvt Ltd"),"Metro Logistics",E489)))</f>
        <v/>
      </c>
      <c r="O489" s="7">
        <f>IF(AND(ISNUMBER(L489),L489&gt;0),"Valid","Review")</f>
        <v/>
      </c>
      <c r="P489" s="7">
        <f>IF(OR(E489="",F489="",NOT(ISNUMBER(L489))),"Check Missing/Invalid Data","OK")</f>
        <v/>
      </c>
    </row>
    <row r="490">
      <c r="A490" s="7" t="inlineStr">
        <is>
          <t>PO-00559</t>
        </is>
      </c>
      <c r="B490" s="9" t="n">
        <v>45963</v>
      </c>
      <c r="C490" s="7" t="inlineStr">
        <is>
          <t>Invoice</t>
        </is>
      </c>
      <c r="D490" s="7" t="inlineStr">
        <is>
          <t>SUP008</t>
        </is>
      </c>
      <c r="E490" s="7">
        <f>IF(E490="","Unknown Supplier",TRIM(E490))</f>
        <v/>
      </c>
      <c r="F490" s="7">
        <f>IF(F490="","Unclassified",TRIM(F490))</f>
        <v/>
      </c>
      <c r="G490" s="7" t="inlineStr">
        <is>
          <t>Labels</t>
        </is>
      </c>
      <c r="H490" s="7" t="inlineStr">
        <is>
          <t>Manufacturing</t>
        </is>
      </c>
      <c r="I490" s="7" t="inlineStr">
        <is>
          <t>East</t>
        </is>
      </c>
      <c r="J490" s="7" t="n">
        <v>73</v>
      </c>
      <c r="K490" s="7" t="n">
        <v>157.38</v>
      </c>
      <c r="L490" s="7" t="n">
        <v>11489.02</v>
      </c>
      <c r="M490" s="7" t="inlineStr">
        <is>
          <t>Pending</t>
        </is>
      </c>
      <c r="N490" s="7">
        <f>IF(OR(E490="Apex Office Supplies",E490="Apex Office Supply Ltd"),"Apex Office Supplies",IF(OR(E490="Northstar IT Services",E490="North Star IT Svc"),"Northstar IT Services",IF(OR(E490="Metro Logistics",E490="Metro Logistics Pvt Ltd"),"Metro Logistics",E490)))</f>
        <v/>
      </c>
      <c r="O490" s="7">
        <f>IF(AND(ISNUMBER(L490),L490&gt;0),"Valid","Review")</f>
        <v/>
      </c>
      <c r="P490" s="7">
        <f>IF(OR(E490="",F490="",NOT(ISNUMBER(L490))),"Check Missing/Invalid Data","OK")</f>
        <v/>
      </c>
    </row>
    <row r="491">
      <c r="A491" s="7" t="inlineStr">
        <is>
          <t>PO-00046</t>
        </is>
      </c>
      <c r="B491" s="9" t="n">
        <v>45963</v>
      </c>
      <c r="C491" s="7" t="inlineStr">
        <is>
          <t>Goods Receipt</t>
        </is>
      </c>
      <c r="D491" s="7" t="inlineStr">
        <is>
          <t>SUP007</t>
        </is>
      </c>
      <c r="E491" s="7">
        <f>IF(E491="","Unknown Supplier",TRIM(E491))</f>
        <v/>
      </c>
      <c r="F491" s="7">
        <f>IF(F491="","Unclassified",TRIM(F491))</f>
        <v/>
      </c>
      <c r="G491" s="7" t="inlineStr">
        <is>
          <t>Security services</t>
        </is>
      </c>
      <c r="H491" s="7" t="inlineStr">
        <is>
          <t>Corporate</t>
        </is>
      </c>
      <c r="I491" s="7" t="inlineStr">
        <is>
          <t>West</t>
        </is>
      </c>
      <c r="J491" s="7" t="n">
        <v>56</v>
      </c>
      <c r="K491" s="7" t="n">
        <v>253.24</v>
      </c>
      <c r="L491" s="7" t="n">
        <v>14181.34</v>
      </c>
      <c r="M491" s="7" t="inlineStr">
        <is>
          <t>Overdue</t>
        </is>
      </c>
      <c r="N491" s="7">
        <f>IF(OR(E491="Apex Office Supplies",E491="Apex Office Supply Ltd"),"Apex Office Supplies",IF(OR(E491="Northstar IT Services",E491="North Star IT Svc"),"Northstar IT Services",IF(OR(E491="Metro Logistics",E491="Metro Logistics Pvt Ltd"),"Metro Logistics",E491)))</f>
        <v/>
      </c>
      <c r="O491" s="7">
        <f>IF(AND(ISNUMBER(L491),L491&gt;0),"Valid","Review")</f>
        <v/>
      </c>
      <c r="P491" s="7">
        <f>IF(OR(E491="",F491="",NOT(ISNUMBER(L491))),"Check Missing/Invalid Data","OK")</f>
        <v/>
      </c>
    </row>
    <row r="492">
      <c r="A492" s="7" t="inlineStr">
        <is>
          <t>PO-00372</t>
        </is>
      </c>
      <c r="B492" s="9" t="n">
        <v>45963</v>
      </c>
      <c r="C492" s="7" t="inlineStr">
        <is>
          <t>Goods Receipt</t>
        </is>
      </c>
      <c r="D492" s="7" t="inlineStr">
        <is>
          <t>SUP004</t>
        </is>
      </c>
      <c r="E492" s="7">
        <f>IF(E492="","Unknown Supplier",TRIM(E492))</f>
        <v/>
      </c>
      <c r="F492" s="7">
        <f>IF(F492="","Unclassified",TRIM(F492))</f>
        <v/>
      </c>
      <c r="G492" s="7" t="inlineStr">
        <is>
          <t>Protective packaging</t>
        </is>
      </c>
      <c r="H492" s="7" t="inlineStr">
        <is>
          <t>Manufacturing</t>
        </is>
      </c>
      <c r="I492" s="7" t="inlineStr">
        <is>
          <t>South</t>
        </is>
      </c>
      <c r="J492" s="7" t="n">
        <v>61</v>
      </c>
      <c r="K492" s="7" t="n">
        <v>19.14</v>
      </c>
      <c r="L492" s="7" t="n">
        <v>1167.61</v>
      </c>
      <c r="M492" s="7" t="inlineStr">
        <is>
          <t>Paid</t>
        </is>
      </c>
      <c r="N492" s="7">
        <f>IF(OR(E492="Apex Office Supplies",E492="Apex Office Supply Ltd"),"Apex Office Supplies",IF(OR(E492="Northstar IT Services",E492="North Star IT Svc"),"Northstar IT Services",IF(OR(E492="Metro Logistics",E492="Metro Logistics Pvt Ltd"),"Metro Logistics",E492)))</f>
        <v/>
      </c>
      <c r="O492" s="7">
        <f>IF(AND(ISNUMBER(L492),L492&gt;0),"Valid","Review")</f>
        <v/>
      </c>
      <c r="P492" s="7">
        <f>IF(OR(E492="",F492="",NOT(ISNUMBER(L492))),"Check Missing/Invalid Data","OK")</f>
        <v/>
      </c>
    </row>
    <row r="493">
      <c r="A493" s="7" t="inlineStr">
        <is>
          <t>PO-00138</t>
        </is>
      </c>
      <c r="B493" s="9" t="n">
        <v>45963</v>
      </c>
      <c r="C493" s="7" t="inlineStr">
        <is>
          <t>Purchase Order</t>
        </is>
      </c>
      <c r="D493" s="7" t="inlineStr">
        <is>
          <t>SUP009</t>
        </is>
      </c>
      <c r="E493" s="7">
        <f>IF(E493="","Unknown Supplier",TRIM(E493))</f>
        <v/>
      </c>
      <c r="F493" s="7">
        <f>IF(F493="","Unclassified",TRIM(F493))</f>
        <v/>
      </c>
      <c r="G493" s="7" t="inlineStr">
        <is>
          <t>Audit support</t>
        </is>
      </c>
      <c r="H493" s="7" t="inlineStr">
        <is>
          <t>Corporate</t>
        </is>
      </c>
      <c r="I493" s="7" t="inlineStr">
        <is>
          <t>South</t>
        </is>
      </c>
      <c r="J493" s="7" t="n">
        <v>56</v>
      </c>
      <c r="K493" s="7" t="n">
        <v>278.05</v>
      </c>
      <c r="L493" s="7" t="n">
        <v>15570.73</v>
      </c>
      <c r="M493" s="7" t="inlineStr">
        <is>
          <t>Pending</t>
        </is>
      </c>
      <c r="N493" s="7">
        <f>IF(OR(E493="Apex Office Supplies",E493="Apex Office Supply Ltd"),"Apex Office Supplies",IF(OR(E493="Northstar IT Services",E493="North Star IT Svc"),"Northstar IT Services",IF(OR(E493="Metro Logistics",E493="Metro Logistics Pvt Ltd"),"Metro Logistics",E493)))</f>
        <v/>
      </c>
      <c r="O493" s="7">
        <f>IF(AND(ISNUMBER(L493),L493&gt;0),"Valid","Review")</f>
        <v/>
      </c>
      <c r="P493" s="7">
        <f>IF(OR(E493="",F493="",NOT(ISNUMBER(L493))),"Check Missing/Invalid Data","OK")</f>
        <v/>
      </c>
    </row>
    <row r="494">
      <c r="A494" s="7" t="inlineStr">
        <is>
          <t>PO-00092</t>
        </is>
      </c>
      <c r="B494" s="9" t="n">
        <v>45964</v>
      </c>
      <c r="C494" s="7" t="inlineStr">
        <is>
          <t>Invoice</t>
        </is>
      </c>
      <c r="D494" s="7" t="inlineStr">
        <is>
          <t>SUP001</t>
        </is>
      </c>
      <c r="E494" s="7">
        <f>IF(E494="","Unknown Supplier",TRIM(E494))</f>
        <v/>
      </c>
      <c r="F494" s="7">
        <f>IF(F494="","Unclassified",TRIM(F494))</f>
        <v/>
      </c>
      <c r="G494" s="7" t="inlineStr">
        <is>
          <t>Printer paper</t>
        </is>
      </c>
      <c r="H494" s="7" t="inlineStr">
        <is>
          <t>Corporate</t>
        </is>
      </c>
      <c r="I494" s="7" t="inlineStr">
        <is>
          <t>South</t>
        </is>
      </c>
      <c r="J494" s="7" t="n">
        <v>78</v>
      </c>
      <c r="K494" s="7" t="n">
        <v>169.92</v>
      </c>
      <c r="L494" s="7" t="n">
        <v>13253.47</v>
      </c>
      <c r="M494" s="7" t="inlineStr">
        <is>
          <t>Overdue</t>
        </is>
      </c>
      <c r="N494" s="7">
        <f>IF(OR(E494="Apex Office Supplies",E494="Apex Office Supply Ltd"),"Apex Office Supplies",IF(OR(E494="Northstar IT Services",E494="North Star IT Svc"),"Northstar IT Services",IF(OR(E494="Metro Logistics",E494="Metro Logistics Pvt Ltd"),"Metro Logistics",E494)))</f>
        <v/>
      </c>
      <c r="O494" s="7">
        <f>IF(AND(ISNUMBER(L494),L494&gt;0),"Valid","Review")</f>
        <v/>
      </c>
      <c r="P494" s="7">
        <f>IF(OR(E494="",F494="",NOT(ISNUMBER(L494))),"Check Missing/Invalid Data","OK")</f>
        <v/>
      </c>
    </row>
    <row r="495">
      <c r="A495" s="7" t="inlineStr">
        <is>
          <t>PO-00579</t>
        </is>
      </c>
      <c r="B495" s="9" t="n">
        <v>45964</v>
      </c>
      <c r="C495" s="7" t="inlineStr">
        <is>
          <t>Invoice</t>
        </is>
      </c>
      <c r="D495" s="7" t="inlineStr">
        <is>
          <t>SUP009</t>
        </is>
      </c>
      <c r="E495" s="7">
        <f>IF(E495="","Unknown Supplier",TRIM(E495))</f>
        <v/>
      </c>
      <c r="F495" s="7">
        <f>IF(F495="","Unclassified",TRIM(F495))</f>
        <v/>
      </c>
      <c r="G495" s="7" t="inlineStr">
        <is>
          <t>Training services</t>
        </is>
      </c>
      <c r="H495" s="7" t="inlineStr">
        <is>
          <t>Manufacturing</t>
        </is>
      </c>
      <c r="I495" s="7" t="inlineStr">
        <is>
          <t>East</t>
        </is>
      </c>
      <c r="J495" s="7" t="n">
        <v>58</v>
      </c>
      <c r="K495" s="7" t="n">
        <v>281.87</v>
      </c>
      <c r="L495" s="7" t="n">
        <v>16348.45</v>
      </c>
      <c r="M495" s="7" t="inlineStr">
        <is>
          <t>Pending</t>
        </is>
      </c>
      <c r="N495" s="7">
        <f>IF(OR(E495="Apex Office Supplies",E495="Apex Office Supply Ltd"),"Apex Office Supplies",IF(OR(E495="Northstar IT Services",E495="North Star IT Svc"),"Northstar IT Services",IF(OR(E495="Metro Logistics",E495="Metro Logistics Pvt Ltd"),"Metro Logistics",E495)))</f>
        <v/>
      </c>
      <c r="O495" s="7">
        <f>IF(AND(ISNUMBER(L495),L495&gt;0),"Valid","Review")</f>
        <v/>
      </c>
      <c r="P495" s="7">
        <f>IF(OR(E495="",F495="",NOT(ISNUMBER(L495))),"Check Missing/Invalid Data","OK")</f>
        <v/>
      </c>
    </row>
    <row r="496">
      <c r="A496" s="7" t="inlineStr">
        <is>
          <t>PO-00162</t>
        </is>
      </c>
      <c r="B496" s="9" t="n">
        <v>45967</v>
      </c>
      <c r="C496" s="7" t="inlineStr">
        <is>
          <t>Purchase Order</t>
        </is>
      </c>
      <c r="D496" s="7" t="inlineStr">
        <is>
          <t>SUP008</t>
        </is>
      </c>
      <c r="E496" s="7">
        <f>IF(E496="","Unknown Supplier",TRIM(E496))</f>
        <v/>
      </c>
      <c r="F496" s="7">
        <f>IF(F496="","Unclassified",TRIM(F496))</f>
        <v/>
      </c>
      <c r="G496" s="7" t="inlineStr">
        <is>
          <t>Protective packaging</t>
        </is>
      </c>
      <c r="H496" s="7" t="inlineStr">
        <is>
          <t>Corporate</t>
        </is>
      </c>
      <c r="I496" s="7" t="inlineStr">
        <is>
          <t>South</t>
        </is>
      </c>
      <c r="J496" s="7" t="n">
        <v>58</v>
      </c>
      <c r="K496" s="7" t="n">
        <v>297.31</v>
      </c>
      <c r="L496" s="7" t="n">
        <v>17244.08</v>
      </c>
      <c r="M496" s="7" t="inlineStr">
        <is>
          <t>Paid</t>
        </is>
      </c>
      <c r="N496" s="7">
        <f>IF(OR(E496="Apex Office Supplies",E496="Apex Office Supply Ltd"),"Apex Office Supplies",IF(OR(E496="Northstar IT Services",E496="North Star IT Svc"),"Northstar IT Services",IF(OR(E496="Metro Logistics",E496="Metro Logistics Pvt Ltd"),"Metro Logistics",E496)))</f>
        <v/>
      </c>
      <c r="O496" s="7">
        <f>IF(AND(ISNUMBER(L496),L496&gt;0),"Valid","Review")</f>
        <v/>
      </c>
      <c r="P496" s="7">
        <f>IF(OR(E496="",F496="",NOT(ISNUMBER(L496))),"Check Missing/Invalid Data","OK")</f>
        <v/>
      </c>
    </row>
    <row r="497">
      <c r="A497" s="7" t="inlineStr">
        <is>
          <t>PO-00118</t>
        </is>
      </c>
      <c r="B497" s="9" t="n">
        <v>45968</v>
      </c>
      <c r="C497" s="7" t="inlineStr">
        <is>
          <t>Goods Receipt</t>
        </is>
      </c>
      <c r="D497" s="7" t="inlineStr">
        <is>
          <t>SUP006</t>
        </is>
      </c>
      <c r="E497" s="7">
        <f>IF(E497="","Unknown Supplier",TRIM(E497))</f>
        <v/>
      </c>
      <c r="F497" s="7">
        <f>IF(F497="","Unclassified",TRIM(F497))</f>
        <v/>
      </c>
      <c r="G497" s="7" t="inlineStr">
        <is>
          <t>Warehouse handling</t>
        </is>
      </c>
      <c r="H497" s="7" t="inlineStr">
        <is>
          <t>Operations</t>
        </is>
      </c>
      <c r="I497" s="7" t="inlineStr">
        <is>
          <t>North</t>
        </is>
      </c>
      <c r="J497" s="7" t="n">
        <v>33</v>
      </c>
      <c r="K497" s="7" t="n">
        <v>181.31</v>
      </c>
      <c r="L497" s="7" t="n">
        <v>5983.25</v>
      </c>
      <c r="M497" s="7" t="inlineStr">
        <is>
          <t>Overdue</t>
        </is>
      </c>
      <c r="N497" s="7">
        <f>IF(OR(E497="Apex Office Supplies",E497="Apex Office Supply Ltd"),"Apex Office Supplies",IF(OR(E497="Northstar IT Services",E497="North Star IT Svc"),"Northstar IT Services",IF(OR(E497="Metro Logistics",E497="Metro Logistics Pvt Ltd"),"Metro Logistics",E497)))</f>
        <v/>
      </c>
      <c r="O497" s="7">
        <f>IF(AND(ISNUMBER(L497),L497&gt;0),"Valid","Review")</f>
        <v/>
      </c>
      <c r="P497" s="7">
        <f>IF(OR(E497="",F497="",NOT(ISNUMBER(L497))),"Check Missing/Invalid Data","OK")</f>
        <v/>
      </c>
    </row>
    <row r="498">
      <c r="A498" s="7" t="inlineStr">
        <is>
          <t>PO-00344</t>
        </is>
      </c>
      <c r="B498" s="9" t="n">
        <v>45969</v>
      </c>
      <c r="C498" s="7" t="inlineStr">
        <is>
          <t>Purchase Order</t>
        </is>
      </c>
      <c r="D498" s="7" t="inlineStr">
        <is>
          <t>SUP001</t>
        </is>
      </c>
      <c r="E498" s="7">
        <f>IF(E498="","Unknown Supplier",TRIM(E498))</f>
        <v/>
      </c>
      <c r="F498" s="7">
        <f>IF(F498="","Unclassified",TRIM(F498))</f>
        <v/>
      </c>
      <c r="G498" s="7" t="inlineStr">
        <is>
          <t>Printer paper</t>
        </is>
      </c>
      <c r="H498" s="7" t="inlineStr">
        <is>
          <t>Corporate</t>
        </is>
      </c>
      <c r="I498" s="7" t="inlineStr">
        <is>
          <t>South</t>
        </is>
      </c>
      <c r="J498" s="7" t="n">
        <v>95</v>
      </c>
      <c r="K498" s="7" t="n">
        <v>140.86</v>
      </c>
      <c r="L498" s="7" t="n">
        <v>13381.48</v>
      </c>
      <c r="M498" s="7" t="inlineStr">
        <is>
          <t>Overdue</t>
        </is>
      </c>
      <c r="N498" s="7">
        <f>IF(OR(E498="Apex Office Supplies",E498="Apex Office Supply Ltd"),"Apex Office Supplies",IF(OR(E498="Northstar IT Services",E498="North Star IT Svc"),"Northstar IT Services",IF(OR(E498="Metro Logistics",E498="Metro Logistics Pvt Ltd"),"Metro Logistics",E498)))</f>
        <v/>
      </c>
      <c r="O498" s="7">
        <f>IF(AND(ISNUMBER(L498),L498&gt;0),"Valid","Review")</f>
        <v/>
      </c>
      <c r="P498" s="7">
        <f>IF(OR(E498="",F498="",NOT(ISNUMBER(L498))),"Check Missing/Invalid Data","OK")</f>
        <v/>
      </c>
    </row>
    <row r="499">
      <c r="A499" s="7" t="inlineStr">
        <is>
          <t>PO-00446</t>
        </is>
      </c>
      <c r="B499" s="9" t="n">
        <v>45970</v>
      </c>
      <c r="C499" s="7" t="inlineStr">
        <is>
          <t>Goods Receipt</t>
        </is>
      </c>
      <c r="D499" s="7" t="inlineStr">
        <is>
          <t>SUP007</t>
        </is>
      </c>
      <c r="E499" s="7">
        <f>IF(E499="","Unknown Supplier",TRIM(E499))</f>
        <v/>
      </c>
      <c r="F499" s="7">
        <f>IF(F499="","Unclassified",TRIM(F499))</f>
        <v/>
      </c>
      <c r="G499" s="7" t="inlineStr">
        <is>
          <t>Security services</t>
        </is>
      </c>
      <c r="H499" s="7" t="inlineStr">
        <is>
          <t>Operations</t>
        </is>
      </c>
      <c r="I499" s="7" t="inlineStr">
        <is>
          <t>West</t>
        </is>
      </c>
      <c r="J499" s="7" t="n">
        <v>111</v>
      </c>
      <c r="K499" s="7" t="n">
        <v>99.56</v>
      </c>
      <c r="L499" s="7" t="n">
        <v>11051.09</v>
      </c>
      <c r="M499" s="7" t="inlineStr">
        <is>
          <t>Pending</t>
        </is>
      </c>
      <c r="N499" s="7">
        <f>IF(OR(E499="Apex Office Supplies",E499="Apex Office Supply Ltd"),"Apex Office Supplies",IF(OR(E499="Northstar IT Services",E499="North Star IT Svc"),"Northstar IT Services",IF(OR(E499="Metro Logistics",E499="Metro Logistics Pvt Ltd"),"Metro Logistics",E499)))</f>
        <v/>
      </c>
      <c r="O499" s="7">
        <f>IF(AND(ISNUMBER(L499),L499&gt;0),"Valid","Review")</f>
        <v/>
      </c>
      <c r="P499" s="7">
        <f>IF(OR(E499="",F499="",NOT(ISNUMBER(L499))),"Check Missing/Invalid Data","OK")</f>
        <v/>
      </c>
    </row>
    <row r="500">
      <c r="A500" s="7" t="inlineStr">
        <is>
          <t>PO-00224</t>
        </is>
      </c>
      <c r="B500" s="9" t="n">
        <v>45971</v>
      </c>
      <c r="C500" s="7" t="inlineStr">
        <is>
          <t>Goods Receipt</t>
        </is>
      </c>
      <c r="D500" s="7" t="inlineStr">
        <is>
          <t>SUP008</t>
        </is>
      </c>
      <c r="E500" s="7">
        <f>IF(E500="","Unknown Supplier",TRIM(E500))</f>
        <v/>
      </c>
      <c r="F500" s="7">
        <f>IF(F500="","Unclassified",TRIM(F500))</f>
        <v/>
      </c>
      <c r="G500" s="7" t="inlineStr">
        <is>
          <t>Corrugated boxes</t>
        </is>
      </c>
      <c r="H500" s="7" t="inlineStr">
        <is>
          <t>Manufacturing</t>
        </is>
      </c>
      <c r="I500" s="7" t="inlineStr">
        <is>
          <t>South</t>
        </is>
      </c>
      <c r="J500" s="7" t="n">
        <v>8</v>
      </c>
      <c r="K500" s="7" t="n">
        <v>1659.6</v>
      </c>
      <c r="L500" s="7" t="n">
        <v>13276.77</v>
      </c>
      <c r="M500" s="7" t="inlineStr">
        <is>
          <t>Overdue</t>
        </is>
      </c>
      <c r="N500" s="7">
        <f>IF(OR(E500="Apex Office Supplies",E500="Apex Office Supply Ltd"),"Apex Office Supplies",IF(OR(E500="Northstar IT Services",E500="North Star IT Svc"),"Northstar IT Services",IF(OR(E500="Metro Logistics",E500="Metro Logistics Pvt Ltd"),"Metro Logistics",E500)))</f>
        <v/>
      </c>
      <c r="O500" s="7">
        <f>IF(AND(ISNUMBER(L500),L500&gt;0),"Valid","Review")</f>
        <v/>
      </c>
      <c r="P500" s="7">
        <f>IF(OR(E500="",F500="",NOT(ISNUMBER(L500))),"Check Missing/Invalid Data","OK")</f>
        <v/>
      </c>
    </row>
    <row r="501">
      <c r="A501" s="7" t="inlineStr">
        <is>
          <t>PO-00219</t>
        </is>
      </c>
      <c r="B501" s="9" t="n">
        <v>45971</v>
      </c>
      <c r="C501" s="7" t="inlineStr">
        <is>
          <t>Invoice</t>
        </is>
      </c>
      <c r="D501" s="7" t="inlineStr">
        <is>
          <t>SUP006</t>
        </is>
      </c>
      <c r="E501" s="7">
        <f>IF(E501="","Unknown Supplier",TRIM(E501))</f>
        <v/>
      </c>
      <c r="F501" s="7">
        <f>IF(F501="","Unclassified",TRIM(F501))</f>
        <v/>
      </c>
      <c r="G501" s="7" t="inlineStr">
        <is>
          <t>Warehouse handling</t>
        </is>
      </c>
      <c r="H501" s="7" t="inlineStr">
        <is>
          <t>Technology</t>
        </is>
      </c>
      <c r="I501" s="7" t="inlineStr">
        <is>
          <t>West</t>
        </is>
      </c>
      <c r="J501" s="7" t="n">
        <v>95</v>
      </c>
      <c r="K501" s="7" t="n">
        <v>319.1</v>
      </c>
      <c r="L501" s="7" t="n">
        <v>30314.76</v>
      </c>
      <c r="M501" s="7" t="inlineStr">
        <is>
          <t>Overdue</t>
        </is>
      </c>
      <c r="N501" s="7">
        <f>IF(OR(E501="Apex Office Supplies",E501="Apex Office Supply Ltd"),"Apex Office Supplies",IF(OR(E501="Northstar IT Services",E501="North Star IT Svc"),"Northstar IT Services",IF(OR(E501="Metro Logistics",E501="Metro Logistics Pvt Ltd"),"Metro Logistics",E501)))</f>
        <v/>
      </c>
      <c r="O501" s="7">
        <f>IF(AND(ISNUMBER(L501),L501&gt;0),"Valid","Review")</f>
        <v/>
      </c>
      <c r="P501" s="7">
        <f>IF(OR(E501="",F501="",NOT(ISNUMBER(L501))),"Check Missing/Invalid Data","OK")</f>
        <v/>
      </c>
    </row>
    <row r="502">
      <c r="A502" s="7" t="inlineStr">
        <is>
          <t>PO-00298</t>
        </is>
      </c>
      <c r="B502" s="9" t="n">
        <v>45971</v>
      </c>
      <c r="C502" s="7" t="inlineStr">
        <is>
          <t>Invoice</t>
        </is>
      </c>
      <c r="D502" s="7" t="inlineStr">
        <is>
          <t>SUP001</t>
        </is>
      </c>
      <c r="E502" s="7">
        <f>IF(E502="","Unknown Supplier",TRIM(E502))</f>
        <v/>
      </c>
      <c r="F502" s="7">
        <f>IF(F502="","Unclassified",TRIM(F502))</f>
        <v/>
      </c>
      <c r="G502" s="7" t="inlineStr">
        <is>
          <t>Pens and stationery</t>
        </is>
      </c>
      <c r="H502" s="7" t="inlineStr">
        <is>
          <t>Sales</t>
        </is>
      </c>
      <c r="I502" s="7" t="inlineStr">
        <is>
          <t>North</t>
        </is>
      </c>
      <c r="J502" s="7" t="n">
        <v>83</v>
      </c>
      <c r="K502" s="7" t="n">
        <v>140.4</v>
      </c>
      <c r="L502" s="7" t="n">
        <v>11653.16</v>
      </c>
      <c r="M502" s="7" t="inlineStr">
        <is>
          <t>Paid</t>
        </is>
      </c>
      <c r="N502" s="7">
        <f>IF(OR(E502="Apex Office Supplies",E502="Apex Office Supply Ltd"),"Apex Office Supplies",IF(OR(E502="Northstar IT Services",E502="North Star IT Svc"),"Northstar IT Services",IF(OR(E502="Metro Logistics",E502="Metro Logistics Pvt Ltd"),"Metro Logistics",E502)))</f>
        <v/>
      </c>
      <c r="O502" s="7">
        <f>IF(AND(ISNUMBER(L502),L502&gt;0),"Valid","Review")</f>
        <v/>
      </c>
      <c r="P502" s="7">
        <f>IF(OR(E502="",F502="",NOT(ISNUMBER(L502))),"Check Missing/Invalid Data","OK")</f>
        <v/>
      </c>
    </row>
    <row r="503">
      <c r="A503" s="7" t="inlineStr">
        <is>
          <t>PO-00281</t>
        </is>
      </c>
      <c r="B503" s="9" t="n">
        <v>45972</v>
      </c>
      <c r="C503" s="7" t="inlineStr">
        <is>
          <t>Goods Receipt</t>
        </is>
      </c>
      <c r="D503" s="7" t="inlineStr">
        <is>
          <t>SUP010</t>
        </is>
      </c>
      <c r="E503" s="7">
        <f>IF(E503="","Unknown Supplier",TRIM(E503))</f>
        <v/>
      </c>
      <c r="F503" s="7">
        <f>IF(F503="","Unclassified",TRIM(F503))</f>
        <v/>
      </c>
      <c r="G503" s="7" t="inlineStr">
        <is>
          <t>Water services</t>
        </is>
      </c>
      <c r="H503" s="7" t="inlineStr">
        <is>
          <t>Sales</t>
        </is>
      </c>
      <c r="I503" s="7" t="inlineStr">
        <is>
          <t>West</t>
        </is>
      </c>
      <c r="J503" s="7" t="n">
        <v>4</v>
      </c>
      <c r="K503" s="7" t="n">
        <v>3487.79</v>
      </c>
      <c r="L503" s="7" t="n">
        <v>13951.16</v>
      </c>
      <c r="M503" s="7" t="inlineStr">
        <is>
          <t>Paid</t>
        </is>
      </c>
      <c r="N503" s="7">
        <f>IF(OR(E503="Apex Office Supplies",E503="Apex Office Supply Ltd"),"Apex Office Supplies",IF(OR(E503="Northstar IT Services",E503="North Star IT Svc"),"Northstar IT Services",IF(OR(E503="Metro Logistics",E503="Metro Logistics Pvt Ltd"),"Metro Logistics",E503)))</f>
        <v/>
      </c>
      <c r="O503" s="7">
        <f>IF(AND(ISNUMBER(L503),L503&gt;0),"Valid","Review")</f>
        <v/>
      </c>
      <c r="P503" s="7">
        <f>IF(OR(E503="",F503="",NOT(ISNUMBER(L503))),"Check Missing/Invalid Data","OK")</f>
        <v/>
      </c>
    </row>
    <row r="504">
      <c r="A504" s="7" t="inlineStr">
        <is>
          <t>PO-00377</t>
        </is>
      </c>
      <c r="B504" s="9" t="n">
        <v>45972</v>
      </c>
      <c r="C504" s="7" t="inlineStr">
        <is>
          <t>Invoice</t>
        </is>
      </c>
      <c r="D504" s="7" t="inlineStr">
        <is>
          <t>SUP004</t>
        </is>
      </c>
      <c r="E504" s="7">
        <f>IF(E504="","Unknown Supplier",TRIM(E504))</f>
        <v/>
      </c>
      <c r="F504" s="7">
        <f>IF(F504="","Unclassified",TRIM(F504))</f>
        <v/>
      </c>
      <c r="G504" s="7" t="inlineStr">
        <is>
          <t>Software support</t>
        </is>
      </c>
      <c r="H504" s="7" t="inlineStr">
        <is>
          <t>Corporate</t>
        </is>
      </c>
      <c r="I504" s="7" t="inlineStr">
        <is>
          <t>South</t>
        </is>
      </c>
      <c r="J504" s="7" t="n">
        <v>23</v>
      </c>
      <c r="K504" s="7" t="n">
        <v>459.2</v>
      </c>
      <c r="L504" s="7" t="n">
        <v>10561.71</v>
      </c>
      <c r="M504" s="7" t="inlineStr">
        <is>
          <t>Overdue</t>
        </is>
      </c>
      <c r="N504" s="7">
        <f>IF(OR(E504="Apex Office Supplies",E504="Apex Office Supply Ltd"),"Apex Office Supplies",IF(OR(E504="Northstar IT Services",E504="North Star IT Svc"),"Northstar IT Services",IF(OR(E504="Metro Logistics",E504="Metro Logistics Pvt Ltd"),"Metro Logistics",E504)))</f>
        <v/>
      </c>
      <c r="O504" s="7">
        <f>IF(AND(ISNUMBER(L504),L504&gt;0),"Valid","Review")</f>
        <v/>
      </c>
      <c r="P504" s="7">
        <f>IF(OR(E504="",F504="",NOT(ISNUMBER(L504))),"Check Missing/Invalid Data","OK")</f>
        <v/>
      </c>
    </row>
    <row r="505">
      <c r="A505" s="7" t="inlineStr">
        <is>
          <t>PO-00493</t>
        </is>
      </c>
      <c r="B505" s="9" t="n">
        <v>45973</v>
      </c>
      <c r="C505" s="7" t="inlineStr">
        <is>
          <t>Goods Receipt</t>
        </is>
      </c>
      <c r="D505" s="7" t="inlineStr">
        <is>
          <t>SUP011</t>
        </is>
      </c>
      <c r="E505" s="7">
        <f>IF(E505="","Unknown Supplier",TRIM(E505))</f>
        <v/>
      </c>
      <c r="F505" s="7">
        <f>IF(F505="","Unclassified",TRIM(F505))</f>
        <v/>
      </c>
      <c r="G505" s="7" t="inlineStr">
        <is>
          <t>Print advertising</t>
        </is>
      </c>
      <c r="H505" s="7" t="inlineStr">
        <is>
          <t>Technology</t>
        </is>
      </c>
      <c r="I505" s="7" t="inlineStr">
        <is>
          <t>West</t>
        </is>
      </c>
      <c r="J505" s="7" t="n">
        <v>73</v>
      </c>
      <c r="K505" s="7" t="n">
        <v>144.73</v>
      </c>
      <c r="L505" s="7" t="n">
        <v>10564.96</v>
      </c>
      <c r="M505" s="7" t="inlineStr">
        <is>
          <t>Paid</t>
        </is>
      </c>
      <c r="N505" s="7">
        <f>IF(OR(E505="Apex Office Supplies",E505="Apex Office Supply Ltd"),"Apex Office Supplies",IF(OR(E505="Northstar IT Services",E505="North Star IT Svc"),"Northstar IT Services",IF(OR(E505="Metro Logistics",E505="Metro Logistics Pvt Ltd"),"Metro Logistics",E505)))</f>
        <v/>
      </c>
      <c r="O505" s="7">
        <f>IF(AND(ISNUMBER(L505),L505&gt;0),"Valid","Review")</f>
        <v/>
      </c>
      <c r="P505" s="7">
        <f>IF(OR(E505="",F505="",NOT(ISNUMBER(L505))),"Check Missing/Invalid Data","OK")</f>
        <v/>
      </c>
    </row>
    <row r="506">
      <c r="A506" s="7" t="inlineStr">
        <is>
          <t>PO-00484</t>
        </is>
      </c>
      <c r="B506" s="9" t="n">
        <v>45974</v>
      </c>
      <c r="C506" s="7" t="inlineStr">
        <is>
          <t>Purchase Order</t>
        </is>
      </c>
      <c r="D506" s="7" t="inlineStr">
        <is>
          <t>SUP002</t>
        </is>
      </c>
      <c r="E506" s="7">
        <f>IF(E506="","Unknown Supplier",TRIM(E506))</f>
        <v/>
      </c>
      <c r="F506" s="7">
        <f>IF(F506="","Unclassified",TRIM(F506))</f>
        <v/>
      </c>
      <c r="G506" s="7" t="inlineStr">
        <is>
          <t>Pens and stationery</t>
        </is>
      </c>
      <c r="H506" s="7" t="inlineStr">
        <is>
          <t>Manufacturing</t>
        </is>
      </c>
      <c r="I506" s="7" t="inlineStr">
        <is>
          <t>North</t>
        </is>
      </c>
      <c r="J506" s="7" t="n">
        <v>90</v>
      </c>
      <c r="K506" s="7" t="n">
        <v>117.67</v>
      </c>
      <c r="L506" s="7" t="n">
        <v>10590.67</v>
      </c>
      <c r="M506" s="7" t="inlineStr">
        <is>
          <t>Pending</t>
        </is>
      </c>
      <c r="N506" s="7">
        <f>IF(OR(E506="Apex Office Supplies",E506="Apex Office Supply Ltd"),"Apex Office Supplies",IF(OR(E506="Northstar IT Services",E506="North Star IT Svc"),"Northstar IT Services",IF(OR(E506="Metro Logistics",E506="Metro Logistics Pvt Ltd"),"Metro Logistics",E506)))</f>
        <v/>
      </c>
      <c r="O506" s="7">
        <f>IF(AND(ISNUMBER(L506),L506&gt;0),"Valid","Review")</f>
        <v/>
      </c>
      <c r="P506" s="7">
        <f>IF(OR(E506="",F506="",NOT(ISNUMBER(L506))),"Check Missing/Invalid Data","OK")</f>
        <v/>
      </c>
    </row>
    <row r="507">
      <c r="A507" s="7" t="inlineStr">
        <is>
          <t>PO-00006</t>
        </is>
      </c>
      <c r="B507" s="9" t="n">
        <v>45974</v>
      </c>
      <c r="C507" s="7" t="inlineStr">
        <is>
          <t>Goods Receipt</t>
        </is>
      </c>
      <c r="D507" s="7" t="inlineStr">
        <is>
          <t>SUP006</t>
        </is>
      </c>
      <c r="E507" s="7">
        <f>IF(E507="","Unknown Supplier",TRIM(E507))</f>
        <v/>
      </c>
      <c r="F507" s="7">
        <f>IF(F507="","Unclassified",TRIM(F507))</f>
        <v/>
      </c>
      <c r="G507" s="7" t="inlineStr">
        <is>
          <t>Freight services</t>
        </is>
      </c>
      <c r="H507" s="7" t="inlineStr">
        <is>
          <t>Technology</t>
        </is>
      </c>
      <c r="I507" s="7" t="inlineStr">
        <is>
          <t>North</t>
        </is>
      </c>
      <c r="J507" s="7" t="n">
        <v>6</v>
      </c>
      <c r="K507" s="7" t="n">
        <v>3603.36</v>
      </c>
      <c r="L507" s="7" t="n">
        <v>21620.17</v>
      </c>
      <c r="M507" s="7" t="inlineStr">
        <is>
          <t>Paid</t>
        </is>
      </c>
      <c r="N507" s="7">
        <f>IF(OR(E507="Apex Office Supplies",E507="Apex Office Supply Ltd"),"Apex Office Supplies",IF(OR(E507="Northstar IT Services",E507="North Star IT Svc"),"Northstar IT Services",IF(OR(E507="Metro Logistics",E507="Metro Logistics Pvt Ltd"),"Metro Logistics",E507)))</f>
        <v/>
      </c>
      <c r="O507" s="7">
        <f>IF(AND(ISNUMBER(L507),L507&gt;0),"Valid","Review")</f>
        <v/>
      </c>
      <c r="P507" s="7">
        <f>IF(OR(E507="",F507="",NOT(ISNUMBER(L507))),"Check Missing/Invalid Data","OK")</f>
        <v/>
      </c>
    </row>
    <row r="508">
      <c r="A508" s="7" t="inlineStr">
        <is>
          <t>PO-00290</t>
        </is>
      </c>
      <c r="B508" s="9" t="n">
        <v>45975</v>
      </c>
      <c r="C508" s="7" t="inlineStr">
        <is>
          <t>Invoice</t>
        </is>
      </c>
      <c r="D508" s="7" t="inlineStr">
        <is>
          <t>SUP007</t>
        </is>
      </c>
      <c r="E508" s="7">
        <f>IF(E508="","Unknown Supplier",TRIM(E508))</f>
        <v/>
      </c>
      <c r="F508" s="7">
        <f>IF(F508="","Unclassified",TRIM(F508))</f>
        <v/>
      </c>
      <c r="G508" s="7" t="inlineStr">
        <is>
          <t>Security services</t>
        </is>
      </c>
      <c r="H508" s="7" t="inlineStr">
        <is>
          <t>Manufacturing</t>
        </is>
      </c>
      <c r="I508" s="7" t="inlineStr">
        <is>
          <t>South</t>
        </is>
      </c>
      <c r="J508" s="7" t="n">
        <v>43</v>
      </c>
      <c r="K508" s="7" t="n">
        <v>139.82</v>
      </c>
      <c r="L508" s="7" t="n">
        <v>6012.21</v>
      </c>
      <c r="M508" s="7" t="inlineStr">
        <is>
          <t>Pending</t>
        </is>
      </c>
      <c r="N508" s="7">
        <f>IF(OR(E508="Apex Office Supplies",E508="Apex Office Supply Ltd"),"Apex Office Supplies",IF(OR(E508="Northstar IT Services",E508="North Star IT Svc"),"Northstar IT Services",IF(OR(E508="Metro Logistics",E508="Metro Logistics Pvt Ltd"),"Metro Logistics",E508)))</f>
        <v/>
      </c>
      <c r="O508" s="7">
        <f>IF(AND(ISNUMBER(L508),L508&gt;0),"Valid","Review")</f>
        <v/>
      </c>
      <c r="P508" s="7">
        <f>IF(OR(E508="",F508="",NOT(ISNUMBER(L508))),"Check Missing/Invalid Data","OK")</f>
        <v/>
      </c>
    </row>
    <row r="509">
      <c r="A509" s="7" t="inlineStr">
        <is>
          <t>PO-00584</t>
        </is>
      </c>
      <c r="B509" s="9" t="n">
        <v>45977</v>
      </c>
      <c r="C509" s="7" t="inlineStr">
        <is>
          <t>Goods Receipt</t>
        </is>
      </c>
      <c r="D509" s="7" t="inlineStr">
        <is>
          <t>SUP012</t>
        </is>
      </c>
      <c r="E509" s="7">
        <f>IF(E509="","Unknown Supplier",TRIM(E509))</f>
        <v/>
      </c>
      <c r="F509" s="7">
        <f>IF(F509="","Unclassified",TRIM(F509))</f>
        <v/>
      </c>
      <c r="G509" s="7" t="inlineStr">
        <is>
          <t>Tools and supplies</t>
        </is>
      </c>
      <c r="H509" s="7" t="inlineStr">
        <is>
          <t>Corporate</t>
        </is>
      </c>
      <c r="I509" s="7" t="inlineStr">
        <is>
          <t>North</t>
        </is>
      </c>
      <c r="J509" s="7" t="n">
        <v>29</v>
      </c>
      <c r="K509" s="7" t="n">
        <v>34.4</v>
      </c>
      <c r="L509" s="7" t="n">
        <v>997.65</v>
      </c>
      <c r="M509" s="7" t="inlineStr">
        <is>
          <t>Paid</t>
        </is>
      </c>
      <c r="N509" s="7">
        <f>IF(OR(E509="Apex Office Supplies",E509="Apex Office Supply Ltd"),"Apex Office Supplies",IF(OR(E509="Northstar IT Services",E509="North Star IT Svc"),"Northstar IT Services",IF(OR(E509="Metro Logistics",E509="Metro Logistics Pvt Ltd"),"Metro Logistics",E509)))</f>
        <v/>
      </c>
      <c r="O509" s="7">
        <f>IF(AND(ISNUMBER(L509),L509&gt;0),"Valid","Review")</f>
        <v/>
      </c>
      <c r="P509" s="7">
        <f>IF(OR(E509="",F509="",NOT(ISNUMBER(L509))),"Check Missing/Invalid Data","OK")</f>
        <v/>
      </c>
    </row>
    <row r="510">
      <c r="A510" s="7" t="inlineStr">
        <is>
          <t>PO-00109</t>
        </is>
      </c>
      <c r="B510" s="9" t="n">
        <v>45978</v>
      </c>
      <c r="C510" s="7" t="inlineStr">
        <is>
          <t>Purchase Order</t>
        </is>
      </c>
      <c r="D510" s="7" t="inlineStr">
        <is>
          <t>SUP012</t>
        </is>
      </c>
      <c r="E510" s="7">
        <f>IF(E510="","Unknown Supplier",TRIM(E510))</f>
        <v/>
      </c>
      <c r="F510" s="7">
        <f>IF(F510="","Unclassified",TRIM(F510))</f>
        <v/>
      </c>
      <c r="G510" s="7" t="inlineStr">
        <is>
          <t>Tools and supplies</t>
        </is>
      </c>
      <c r="H510" s="7" t="inlineStr">
        <is>
          <t>Corporate</t>
        </is>
      </c>
      <c r="I510" s="7" t="inlineStr">
        <is>
          <t>South</t>
        </is>
      </c>
      <c r="J510" s="7" t="n">
        <v>70</v>
      </c>
      <c r="K510" s="7" t="n">
        <v>126.35</v>
      </c>
      <c r="L510" s="7" t="n">
        <v>8844.5</v>
      </c>
      <c r="M510" s="7" t="inlineStr">
        <is>
          <t>Overdue</t>
        </is>
      </c>
      <c r="N510" s="7">
        <f>IF(OR(E510="Apex Office Supplies",E510="Apex Office Supply Ltd"),"Apex Office Supplies",IF(OR(E510="Northstar IT Services",E510="North Star IT Svc"),"Northstar IT Services",IF(OR(E510="Metro Logistics",E510="Metro Logistics Pvt Ltd"),"Metro Logistics",E510)))</f>
        <v/>
      </c>
      <c r="O510" s="7">
        <f>IF(AND(ISNUMBER(L510),L510&gt;0),"Valid","Review")</f>
        <v/>
      </c>
      <c r="P510" s="7">
        <f>IF(OR(E510="",F510="",NOT(ISNUMBER(L510))),"Check Missing/Invalid Data","OK")</f>
        <v/>
      </c>
    </row>
    <row r="511">
      <c r="A511" s="7" t="inlineStr">
        <is>
          <t>PO-00289</t>
        </is>
      </c>
      <c r="B511" s="9" t="n">
        <v>45978</v>
      </c>
      <c r="C511" s="7" t="inlineStr">
        <is>
          <t>Purchase Order</t>
        </is>
      </c>
      <c r="D511" s="7" t="inlineStr">
        <is>
          <t>SUP008</t>
        </is>
      </c>
      <c r="E511" s="7">
        <f>IF(E511="","Unknown Supplier",TRIM(E511))</f>
        <v/>
      </c>
      <c r="F511" s="7">
        <f>IF(F511="","Unclassified",TRIM(F511))</f>
        <v/>
      </c>
      <c r="G511" s="7" t="inlineStr">
        <is>
          <t>Protective packaging</t>
        </is>
      </c>
      <c r="H511" s="7" t="inlineStr">
        <is>
          <t>Corporate</t>
        </is>
      </c>
      <c r="I511" s="7" t="inlineStr">
        <is>
          <t>West</t>
        </is>
      </c>
      <c r="J511" s="7" t="n">
        <v>14</v>
      </c>
      <c r="K511" s="7" t="n">
        <v>258.31</v>
      </c>
      <c r="L511" s="7" t="n">
        <v>3616.4</v>
      </c>
      <c r="M511" s="7" t="inlineStr">
        <is>
          <t>Pending</t>
        </is>
      </c>
      <c r="N511" s="7">
        <f>IF(OR(E511="Apex Office Supplies",E511="Apex Office Supply Ltd"),"Apex Office Supplies",IF(OR(E511="Northstar IT Services",E511="North Star IT Svc"),"Northstar IT Services",IF(OR(E511="Metro Logistics",E511="Metro Logistics Pvt Ltd"),"Metro Logistics",E511)))</f>
        <v/>
      </c>
      <c r="O511" s="7">
        <f>IF(AND(ISNUMBER(L511),L511&gt;0),"Valid","Review")</f>
        <v/>
      </c>
      <c r="P511" s="7">
        <f>IF(OR(E511="",F511="",NOT(ISNUMBER(L511))),"Check Missing/Invalid Data","OK")</f>
        <v/>
      </c>
    </row>
    <row r="512">
      <c r="A512" s="7" t="inlineStr">
        <is>
          <t>PO-00588</t>
        </is>
      </c>
      <c r="B512" s="9" t="n">
        <v>45978</v>
      </c>
      <c r="C512" s="7" t="inlineStr">
        <is>
          <t>Purchase Order</t>
        </is>
      </c>
      <c r="D512" s="7" t="inlineStr">
        <is>
          <t>SUP003</t>
        </is>
      </c>
      <c r="E512" s="7">
        <f>IF(E512="","Unknown Supplier",TRIM(E512))</f>
        <v/>
      </c>
      <c r="F512" s="7">
        <f>IF(F512="","Unclassified",TRIM(F512))</f>
        <v/>
      </c>
      <c r="G512" s="7" t="inlineStr">
        <is>
          <t>IT consulting</t>
        </is>
      </c>
      <c r="H512" s="7" t="inlineStr">
        <is>
          <t>Manufacturing</t>
        </is>
      </c>
      <c r="I512" s="7" t="inlineStr">
        <is>
          <t>East</t>
        </is>
      </c>
      <c r="J512" s="7" t="n">
        <v>96</v>
      </c>
      <c r="K512" s="7" t="n">
        <v>178.85</v>
      </c>
      <c r="L512" s="7" t="n">
        <v>17169.27</v>
      </c>
      <c r="M512" s="7" t="inlineStr">
        <is>
          <t>Overdue</t>
        </is>
      </c>
      <c r="N512" s="7">
        <f>IF(OR(E512="Apex Office Supplies",E512="Apex Office Supply Ltd"),"Apex Office Supplies",IF(OR(E512="Northstar IT Services",E512="North Star IT Svc"),"Northstar IT Services",IF(OR(E512="Metro Logistics",E512="Metro Logistics Pvt Ltd"),"Metro Logistics",E512)))</f>
        <v/>
      </c>
      <c r="O512" s="7">
        <f>IF(AND(ISNUMBER(L512),L512&gt;0),"Valid","Review")</f>
        <v/>
      </c>
      <c r="P512" s="7">
        <f>IF(OR(E512="",F512="",NOT(ISNUMBER(L512))),"Check Missing/Invalid Data","OK")</f>
        <v/>
      </c>
    </row>
    <row r="513">
      <c r="A513" s="7" t="inlineStr">
        <is>
          <t>PO-00497</t>
        </is>
      </c>
      <c r="B513" s="9" t="n">
        <v>45978</v>
      </c>
      <c r="C513" s="7" t="inlineStr">
        <is>
          <t>Goods Receipt</t>
        </is>
      </c>
      <c r="D513" s="7" t="inlineStr">
        <is>
          <t>SUP002</t>
        </is>
      </c>
      <c r="E513" s="7">
        <f>IF(E513="","Unknown Supplier",TRIM(E513))</f>
        <v/>
      </c>
      <c r="F513" s="7">
        <f>IF(F513="","Unclassified",TRIM(F513))</f>
        <v/>
      </c>
      <c r="G513" s="7" t="inlineStr">
        <is>
          <t>Toner cartridges</t>
        </is>
      </c>
      <c r="H513" s="7" t="inlineStr">
        <is>
          <t>Corporate</t>
        </is>
      </c>
      <c r="I513" s="7" t="inlineStr">
        <is>
          <t>West</t>
        </is>
      </c>
      <c r="J513" s="7" t="n">
        <v>109</v>
      </c>
      <c r="K513" s="7" t="n">
        <v>147.44</v>
      </c>
      <c r="L513" s="7" t="n">
        <v>16070.84</v>
      </c>
      <c r="M513" s="7" t="inlineStr">
        <is>
          <t>Overdue</t>
        </is>
      </c>
      <c r="N513" s="7">
        <f>IF(OR(E513="Apex Office Supplies",E513="Apex Office Supply Ltd"),"Apex Office Supplies",IF(OR(E513="Northstar IT Services",E513="North Star IT Svc"),"Northstar IT Services",IF(OR(E513="Metro Logistics",E513="Metro Logistics Pvt Ltd"),"Metro Logistics",E513)))</f>
        <v/>
      </c>
      <c r="O513" s="7">
        <f>IF(AND(ISNUMBER(L513),L513&gt;0),"Valid","Review")</f>
        <v/>
      </c>
      <c r="P513" s="7">
        <f>IF(OR(E513="",F513="",NOT(ISNUMBER(L513))),"Check Missing/Invalid Data","OK")</f>
        <v/>
      </c>
    </row>
    <row r="514">
      <c r="A514" s="7" t="inlineStr">
        <is>
          <t>PO-00158</t>
        </is>
      </c>
      <c r="B514" s="9" t="n">
        <v>45979</v>
      </c>
      <c r="C514" s="7" t="inlineStr">
        <is>
          <t>Invoice</t>
        </is>
      </c>
      <c r="D514" s="7" t="inlineStr">
        <is>
          <t>SUP008</t>
        </is>
      </c>
      <c r="E514" s="7">
        <f>IF(E514="","Unknown Supplier",TRIM(E514))</f>
        <v/>
      </c>
      <c r="F514" s="7">
        <f>IF(F514="","Unclassified",TRIM(F514))</f>
        <v/>
      </c>
      <c r="G514" s="7" t="inlineStr">
        <is>
          <t>Labels</t>
        </is>
      </c>
      <c r="H514" s="7" t="inlineStr">
        <is>
          <t>Manufacturing</t>
        </is>
      </c>
      <c r="I514" s="7" t="inlineStr">
        <is>
          <t>East</t>
        </is>
      </c>
      <c r="J514" s="7" t="n">
        <v>75</v>
      </c>
      <c r="K514" s="7" t="n">
        <v>135.99</v>
      </c>
      <c r="L514" s="7" t="n">
        <v>10199.59</v>
      </c>
      <c r="M514" s="7" t="inlineStr">
        <is>
          <t>Overdue</t>
        </is>
      </c>
      <c r="N514" s="7">
        <f>IF(OR(E514="Apex Office Supplies",E514="Apex Office Supply Ltd"),"Apex Office Supplies",IF(OR(E514="Northstar IT Services",E514="North Star IT Svc"),"Northstar IT Services",IF(OR(E514="Metro Logistics",E514="Metro Logistics Pvt Ltd"),"Metro Logistics",E514)))</f>
        <v/>
      </c>
      <c r="O514" s="7">
        <f>IF(AND(ISNUMBER(L514),L514&gt;0),"Valid","Review")</f>
        <v/>
      </c>
      <c r="P514" s="7">
        <f>IF(OR(E514="",F514="",NOT(ISNUMBER(L514))),"Check Missing/Invalid Data","OK")</f>
        <v/>
      </c>
    </row>
    <row r="515">
      <c r="A515" s="7" t="inlineStr">
        <is>
          <t>PO-00546</t>
        </is>
      </c>
      <c r="B515" s="9" t="n">
        <v>45980</v>
      </c>
      <c r="C515" s="7" t="inlineStr">
        <is>
          <t>Invoice</t>
        </is>
      </c>
      <c r="D515" s="7" t="inlineStr">
        <is>
          <t>SUP009</t>
        </is>
      </c>
      <c r="E515" s="7">
        <f>IF(E515="","Unknown Supplier",TRIM(E515))</f>
        <v/>
      </c>
      <c r="F515" s="7">
        <f>IF(F515="","Unclassified",TRIM(F515))</f>
        <v/>
      </c>
      <c r="G515" s="7" t="inlineStr">
        <is>
          <t>Training services</t>
        </is>
      </c>
      <c r="H515" s="7" t="inlineStr">
        <is>
          <t>Manufacturing</t>
        </is>
      </c>
      <c r="I515" s="7" t="inlineStr">
        <is>
          <t>North</t>
        </is>
      </c>
      <c r="J515" s="7" t="n">
        <v>63</v>
      </c>
      <c r="K515" s="7" t="n">
        <v>155.57</v>
      </c>
      <c r="L515" s="7" t="n">
        <v>9800.85</v>
      </c>
      <c r="M515" s="7" t="inlineStr">
        <is>
          <t>Pending</t>
        </is>
      </c>
      <c r="N515" s="7">
        <f>IF(OR(E515="Apex Office Supplies",E515="Apex Office Supply Ltd"),"Apex Office Supplies",IF(OR(E515="Northstar IT Services",E515="North Star IT Svc"),"Northstar IT Services",IF(OR(E515="Metro Logistics",E515="Metro Logistics Pvt Ltd"),"Metro Logistics",E515)))</f>
        <v/>
      </c>
      <c r="O515" s="7">
        <f>IF(AND(ISNUMBER(L515),L515&gt;0),"Valid","Review")</f>
        <v/>
      </c>
      <c r="P515" s="7">
        <f>IF(OR(E515="",F515="",NOT(ISNUMBER(L515))),"Check Missing/Invalid Data","OK")</f>
        <v/>
      </c>
    </row>
    <row r="516">
      <c r="A516" s="7" t="inlineStr">
        <is>
          <t>PO-00599</t>
        </is>
      </c>
      <c r="B516" s="9" t="n">
        <v>45981</v>
      </c>
      <c r="C516" s="7" t="inlineStr">
        <is>
          <t>Goods Receipt</t>
        </is>
      </c>
      <c r="D516" s="7" t="inlineStr">
        <is>
          <t>SUP007</t>
        </is>
      </c>
      <c r="E516" s="7">
        <f>IF(E516="","Unknown Supplier",TRIM(E516))</f>
        <v/>
      </c>
      <c r="F516" s="7">
        <f>IF(F516="","Unclassified",TRIM(F516))</f>
        <v/>
      </c>
      <c r="G516" s="7" t="inlineStr">
        <is>
          <t>Repair parts</t>
        </is>
      </c>
      <c r="H516" s="7" t="inlineStr">
        <is>
          <t>Technology</t>
        </is>
      </c>
      <c r="I516" s="7" t="inlineStr">
        <is>
          <t>South</t>
        </is>
      </c>
      <c r="J516" s="7" t="n">
        <v>70</v>
      </c>
      <c r="K516" s="7" t="n">
        <v>12.23</v>
      </c>
      <c r="L516" s="7" t="n">
        <v>856.34</v>
      </c>
      <c r="M516" s="7" t="inlineStr">
        <is>
          <t>Paid</t>
        </is>
      </c>
      <c r="N516" s="7">
        <f>IF(OR(E516="Apex Office Supplies",E516="Apex Office Supply Ltd"),"Apex Office Supplies",IF(OR(E516="Northstar IT Services",E516="North Star IT Svc"),"Northstar IT Services",IF(OR(E516="Metro Logistics",E516="Metro Logistics Pvt Ltd"),"Metro Logistics",E516)))</f>
        <v/>
      </c>
      <c r="O516" s="7">
        <f>IF(AND(ISNUMBER(L516),L516&gt;0),"Valid","Review")</f>
        <v/>
      </c>
      <c r="P516" s="7">
        <f>IF(OR(E516="",F516="",NOT(ISNUMBER(L516))),"Check Missing/Invalid Data","OK")</f>
        <v/>
      </c>
    </row>
    <row r="517">
      <c r="A517" s="7" t="inlineStr">
        <is>
          <t>PO-00551</t>
        </is>
      </c>
      <c r="B517" s="9" t="n">
        <v>45981</v>
      </c>
      <c r="C517" s="7" t="inlineStr">
        <is>
          <t>Invoice</t>
        </is>
      </c>
      <c r="D517" s="7" t="inlineStr">
        <is>
          <t>SUP003</t>
        </is>
      </c>
      <c r="E517" s="7">
        <f>IF(E517="","Unknown Supplier",TRIM(E517))</f>
        <v/>
      </c>
      <c r="F517" s="7">
        <f>IF(F517="","Unclassified",TRIM(F517))</f>
        <v/>
      </c>
      <c r="G517" s="7" t="inlineStr">
        <is>
          <t>Cloud services</t>
        </is>
      </c>
      <c r="H517" s="7" t="inlineStr">
        <is>
          <t>Manufacturing</t>
        </is>
      </c>
      <c r="I517" s="7" t="inlineStr">
        <is>
          <t>West</t>
        </is>
      </c>
      <c r="J517" s="7" t="n">
        <v>119</v>
      </c>
      <c r="K517" s="7" t="n">
        <v>165.34</v>
      </c>
      <c r="L517" s="7" t="n">
        <v>19675.09</v>
      </c>
      <c r="M517" s="7" t="inlineStr">
        <is>
          <t>Paid</t>
        </is>
      </c>
      <c r="N517" s="7">
        <f>IF(OR(E517="Apex Office Supplies",E517="Apex Office Supply Ltd"),"Apex Office Supplies",IF(OR(E517="Northstar IT Services",E517="North Star IT Svc"),"Northstar IT Services",IF(OR(E517="Metro Logistics",E517="Metro Logistics Pvt Ltd"),"Metro Logistics",E517)))</f>
        <v/>
      </c>
      <c r="O517" s="7">
        <f>IF(AND(ISNUMBER(L517),L517&gt;0),"Valid","Review")</f>
        <v/>
      </c>
      <c r="P517" s="7">
        <f>IF(OR(E517="",F517="",NOT(ISNUMBER(L517))),"Check Missing/Invalid Data","OK")</f>
        <v/>
      </c>
    </row>
    <row r="518">
      <c r="A518" s="7" t="inlineStr">
        <is>
          <t>PO-00591</t>
        </is>
      </c>
      <c r="B518" s="9" t="n">
        <v>45982</v>
      </c>
      <c r="C518" s="7" t="inlineStr">
        <is>
          <t>Goods Receipt</t>
        </is>
      </c>
      <c r="D518" s="7" t="inlineStr">
        <is>
          <t>SUP007</t>
        </is>
      </c>
      <c r="E518" s="7">
        <f>IF(E518="","Unknown Supplier",TRIM(E518))</f>
        <v/>
      </c>
      <c r="F518" s="7">
        <f>IF(F518="","Unclassified",TRIM(F518))</f>
        <v/>
      </c>
      <c r="G518" s="7" t="inlineStr">
        <is>
          <t>Security services</t>
        </is>
      </c>
      <c r="H518" s="7" t="inlineStr">
        <is>
          <t>Operations</t>
        </is>
      </c>
      <c r="I518" s="7" t="inlineStr">
        <is>
          <t>West</t>
        </is>
      </c>
      <c r="J518" s="7" t="n">
        <v>31</v>
      </c>
      <c r="K518" s="7" t="n">
        <v>190.43</v>
      </c>
      <c r="L518" s="7" t="n">
        <v>5903.3</v>
      </c>
      <c r="M518" s="7" t="inlineStr">
        <is>
          <t>Overdue</t>
        </is>
      </c>
      <c r="N518" s="7">
        <f>IF(OR(E518="Apex Office Supplies",E518="Apex Office Supply Ltd"),"Apex Office Supplies",IF(OR(E518="Northstar IT Services",E518="North Star IT Svc"),"Northstar IT Services",IF(OR(E518="Metro Logistics",E518="Metro Logistics Pvt Ltd"),"Metro Logistics",E518)))</f>
        <v/>
      </c>
      <c r="O518" s="7">
        <f>IF(AND(ISNUMBER(L518),L518&gt;0),"Valid","Review")</f>
        <v/>
      </c>
      <c r="P518" s="7">
        <f>IF(OR(E518="",F518="",NOT(ISNUMBER(L518))),"Check Missing/Invalid Data","OK")</f>
        <v/>
      </c>
    </row>
    <row r="519">
      <c r="A519" s="7" t="inlineStr">
        <is>
          <t>PO-00456</t>
        </is>
      </c>
      <c r="B519" s="9" t="n">
        <v>45982</v>
      </c>
      <c r="C519" s="7" t="inlineStr">
        <is>
          <t>Purchase Order</t>
        </is>
      </c>
      <c r="D519" s="7" t="inlineStr">
        <is>
          <t>SUP005</t>
        </is>
      </c>
      <c r="E519" s="7">
        <f>IF(E519="","Unknown Supplier",TRIM(E519))</f>
        <v/>
      </c>
      <c r="F519" s="7">
        <f>IF(F519="","Unclassified",TRIM(F519))</f>
        <v/>
      </c>
      <c r="G519" s="7" t="inlineStr">
        <is>
          <t>Freight services</t>
        </is>
      </c>
      <c r="H519" s="7" t="inlineStr">
        <is>
          <t>Sales</t>
        </is>
      </c>
      <c r="I519" s="7" t="inlineStr">
        <is>
          <t>South</t>
        </is>
      </c>
      <c r="J519" s="7" t="n">
        <v>14</v>
      </c>
      <c r="K519" s="7" t="n">
        <v>826.34</v>
      </c>
      <c r="L519" s="7" t="n">
        <v>11568.77</v>
      </c>
      <c r="M519" s="7" t="inlineStr">
        <is>
          <t>Overdue</t>
        </is>
      </c>
      <c r="N519" s="7">
        <f>IF(OR(E519="Apex Office Supplies",E519="Apex Office Supply Ltd"),"Apex Office Supplies",IF(OR(E519="Northstar IT Services",E519="North Star IT Svc"),"Northstar IT Services",IF(OR(E519="Metro Logistics",E519="Metro Logistics Pvt Ltd"),"Metro Logistics",E519)))</f>
        <v/>
      </c>
      <c r="O519" s="7">
        <f>IF(AND(ISNUMBER(L519),L519&gt;0),"Valid","Review")</f>
        <v/>
      </c>
      <c r="P519" s="7">
        <f>IF(OR(E519="",F519="",NOT(ISNUMBER(L519))),"Check Missing/Invalid Data","OK")</f>
        <v/>
      </c>
    </row>
    <row r="520">
      <c r="A520" s="7" t="inlineStr">
        <is>
          <t>PO-00323</t>
        </is>
      </c>
      <c r="B520" s="9" t="n">
        <v>45982</v>
      </c>
      <c r="C520" s="7" t="inlineStr">
        <is>
          <t>Invoice</t>
        </is>
      </c>
      <c r="D520" s="7" t="inlineStr">
        <is>
          <t>SUP002</t>
        </is>
      </c>
      <c r="E520" s="7">
        <f>IF(E520="","Unknown Supplier",TRIM(E520))</f>
        <v/>
      </c>
      <c r="F520" s="7">
        <f>IF(F520="","Unclassified",TRIM(F520))</f>
        <v/>
      </c>
      <c r="G520" s="7" t="inlineStr">
        <is>
          <t>Pens and stationery</t>
        </is>
      </c>
      <c r="H520" s="7" t="inlineStr">
        <is>
          <t>Sales</t>
        </is>
      </c>
      <c r="I520" s="7" t="inlineStr">
        <is>
          <t>East</t>
        </is>
      </c>
      <c r="J520" s="7" t="n">
        <v>89</v>
      </c>
      <c r="K520" s="7" t="n">
        <v>151.98</v>
      </c>
      <c r="L520" s="7" t="n">
        <v>13526.47</v>
      </c>
      <c r="M520" s="7" t="inlineStr">
        <is>
          <t>Overdue</t>
        </is>
      </c>
      <c r="N520" s="7">
        <f>IF(OR(E520="Apex Office Supplies",E520="Apex Office Supply Ltd"),"Apex Office Supplies",IF(OR(E520="Northstar IT Services",E520="North Star IT Svc"),"Northstar IT Services",IF(OR(E520="Metro Logistics",E520="Metro Logistics Pvt Ltd"),"Metro Logistics",E520)))</f>
        <v/>
      </c>
      <c r="O520" s="7">
        <f>IF(AND(ISNUMBER(L520),L520&gt;0),"Valid","Review")</f>
        <v/>
      </c>
      <c r="P520" s="7">
        <f>IF(OR(E520="",F520="",NOT(ISNUMBER(L520))),"Check Missing/Invalid Data","OK")</f>
        <v/>
      </c>
    </row>
    <row r="521">
      <c r="A521" s="7" t="inlineStr">
        <is>
          <t>PO-00001</t>
        </is>
      </c>
      <c r="B521" s="9" t="n">
        <v>45985</v>
      </c>
      <c r="C521" s="7" t="inlineStr">
        <is>
          <t>Goods Receipt</t>
        </is>
      </c>
      <c r="D521" s="7" t="inlineStr">
        <is>
          <t>SUP002</t>
        </is>
      </c>
      <c r="E521" s="7">
        <f>IF(E521="","Unknown Supplier",TRIM(E521))</f>
        <v/>
      </c>
      <c r="F521" s="7">
        <f>IF(F521="","Unclassified",TRIM(F521))</f>
        <v/>
      </c>
      <c r="G521" s="7" t="inlineStr">
        <is>
          <t>Corrugated boxes</t>
        </is>
      </c>
      <c r="H521" s="7" t="inlineStr">
        <is>
          <t>Manufacturing</t>
        </is>
      </c>
      <c r="I521" s="7" t="inlineStr">
        <is>
          <t>North</t>
        </is>
      </c>
      <c r="J521" s="7" t="n">
        <v>18</v>
      </c>
      <c r="K521" s="7" t="n">
        <v>249.93</v>
      </c>
      <c r="L521" s="7" t="n">
        <v>4498.67</v>
      </c>
      <c r="M521" s="7" t="inlineStr">
        <is>
          <t>Overdue</t>
        </is>
      </c>
      <c r="N521" s="7">
        <f>IF(OR(E521="Apex Office Supplies",E521="Apex Office Supply Ltd"),"Apex Office Supplies",IF(OR(E521="Northstar IT Services",E521="North Star IT Svc"),"Northstar IT Services",IF(OR(E521="Metro Logistics",E521="Metro Logistics Pvt Ltd"),"Metro Logistics",E521)))</f>
        <v/>
      </c>
      <c r="O521" s="7">
        <f>IF(AND(ISNUMBER(L521),L521&gt;0),"Valid","Review")</f>
        <v/>
      </c>
      <c r="P521" s="7">
        <f>IF(OR(E521="",F521="",NOT(ISNUMBER(L521))),"Check Missing/Invalid Data","OK")</f>
        <v/>
      </c>
    </row>
    <row r="522">
      <c r="A522" s="7" t="inlineStr">
        <is>
          <t>PO-00207</t>
        </is>
      </c>
      <c r="B522" s="9" t="n">
        <v>45985</v>
      </c>
      <c r="C522" s="7" t="inlineStr">
        <is>
          <t>Goods Receipt</t>
        </is>
      </c>
      <c r="D522" s="7" t="inlineStr">
        <is>
          <t>SUP001</t>
        </is>
      </c>
      <c r="E522" s="7">
        <f>IF(E522="","Unknown Supplier",TRIM(E522))</f>
        <v/>
      </c>
      <c r="F522" s="7">
        <f>IF(F522="","Unclassified",TRIM(F522))</f>
        <v/>
      </c>
      <c r="G522" s="7" t="inlineStr">
        <is>
          <t>Pens and stationery</t>
        </is>
      </c>
      <c r="H522" s="7" t="inlineStr">
        <is>
          <t>Sales</t>
        </is>
      </c>
      <c r="I522" s="7" t="inlineStr">
        <is>
          <t>South</t>
        </is>
      </c>
      <c r="J522" s="7" t="n">
        <v>38</v>
      </c>
      <c r="K522" s="7" t="n">
        <v>298.25</v>
      </c>
      <c r="L522" s="7" t="n">
        <v>11333.69</v>
      </c>
      <c r="M522" s="7" t="inlineStr">
        <is>
          <t>Overdue</t>
        </is>
      </c>
      <c r="N522" s="7">
        <f>IF(OR(E522="Apex Office Supplies",E522="Apex Office Supply Ltd"),"Apex Office Supplies",IF(OR(E522="Northstar IT Services",E522="North Star IT Svc"),"Northstar IT Services",IF(OR(E522="Metro Logistics",E522="Metro Logistics Pvt Ltd"),"Metro Logistics",E522)))</f>
        <v/>
      </c>
      <c r="O522" s="7">
        <f>IF(AND(ISNUMBER(L522),L522&gt;0),"Valid","Review")</f>
        <v/>
      </c>
      <c r="P522" s="7">
        <f>IF(OR(E522="",F522="",NOT(ISNUMBER(L522))),"Check Missing/Invalid Data","OK")</f>
        <v/>
      </c>
    </row>
    <row r="523">
      <c r="A523" s="7" t="inlineStr">
        <is>
          <t>PO-00154</t>
        </is>
      </c>
      <c r="B523" s="9" t="n">
        <v>45985</v>
      </c>
      <c r="C523" s="7" t="inlineStr">
        <is>
          <t>Purchase Order</t>
        </is>
      </c>
      <c r="D523" s="7" t="inlineStr">
        <is>
          <t>SUP007</t>
        </is>
      </c>
      <c r="E523" s="7">
        <f>IF(E523="","Unknown Supplier",TRIM(E523))</f>
        <v/>
      </c>
      <c r="F523" s="7">
        <f>IF(F523="","Unclassified",TRIM(F523))</f>
        <v/>
      </c>
      <c r="G523" s="7" t="inlineStr">
        <is>
          <t>Security services</t>
        </is>
      </c>
      <c r="H523" s="7" t="inlineStr">
        <is>
          <t>Sales</t>
        </is>
      </c>
      <c r="I523" s="7" t="inlineStr">
        <is>
          <t>East</t>
        </is>
      </c>
      <c r="J523" s="7" t="n">
        <v>42</v>
      </c>
      <c r="K523" s="7" t="n">
        <v>175.29</v>
      </c>
      <c r="L523" s="7" t="n">
        <v>7361.98</v>
      </c>
      <c r="M523" s="7" t="inlineStr">
        <is>
          <t>Paid</t>
        </is>
      </c>
      <c r="N523" s="7">
        <f>IF(OR(E523="Apex Office Supplies",E523="Apex Office Supply Ltd"),"Apex Office Supplies",IF(OR(E523="Northstar IT Services",E523="North Star IT Svc"),"Northstar IT Services",IF(OR(E523="Metro Logistics",E523="Metro Logistics Pvt Ltd"),"Metro Logistics",E523)))</f>
        <v/>
      </c>
      <c r="O523" s="7">
        <f>IF(AND(ISNUMBER(L523),L523&gt;0),"Valid","Review")</f>
        <v/>
      </c>
      <c r="P523" s="7">
        <f>IF(OR(E523="",F523="",NOT(ISNUMBER(L523))),"Check Missing/Invalid Data","OK")</f>
        <v/>
      </c>
    </row>
    <row r="524">
      <c r="A524" s="7" t="inlineStr">
        <is>
          <t>PO-00205</t>
        </is>
      </c>
      <c r="B524" s="9" t="n">
        <v>45986</v>
      </c>
      <c r="C524" s="7" t="inlineStr">
        <is>
          <t>Goods Receipt</t>
        </is>
      </c>
      <c r="D524" s="7" t="inlineStr">
        <is>
          <t>SUP003</t>
        </is>
      </c>
      <c r="E524" s="7">
        <f>IF(E524="","Unknown Supplier",TRIM(E524))</f>
        <v/>
      </c>
      <c r="F524" s="7">
        <f>IF(F524="","Unclassified",TRIM(F524))</f>
        <v/>
      </c>
      <c r="G524" s="7" t="inlineStr">
        <is>
          <t>IT consulting</t>
        </is>
      </c>
      <c r="H524" s="7" t="inlineStr">
        <is>
          <t>Manufacturing</t>
        </is>
      </c>
      <c r="I524" s="7" t="inlineStr">
        <is>
          <t>East</t>
        </is>
      </c>
      <c r="J524" s="7" t="n">
        <v>22</v>
      </c>
      <c r="K524" s="7" t="n">
        <v>811.52</v>
      </c>
      <c r="L524" s="7" t="n">
        <v>17853.33</v>
      </c>
      <c r="M524" s="7" t="inlineStr">
        <is>
          <t>Overdue</t>
        </is>
      </c>
      <c r="N524" s="7">
        <f>IF(OR(E524="Apex Office Supplies",E524="Apex Office Supply Ltd"),"Apex Office Supplies",IF(OR(E524="Northstar IT Services",E524="North Star IT Svc"),"Northstar IT Services",IF(OR(E524="Metro Logistics",E524="Metro Logistics Pvt Ltd"),"Metro Logistics",E524)))</f>
        <v/>
      </c>
      <c r="O524" s="7">
        <f>IF(AND(ISNUMBER(L524),L524&gt;0),"Valid","Review")</f>
        <v/>
      </c>
      <c r="P524" s="7">
        <f>IF(OR(E524="",F524="",NOT(ISNUMBER(L524))),"Check Missing/Invalid Data","OK")</f>
        <v/>
      </c>
    </row>
    <row r="525">
      <c r="A525" s="7" t="inlineStr">
        <is>
          <t>PO-00174</t>
        </is>
      </c>
      <c r="B525" s="9" t="n">
        <v>45986</v>
      </c>
      <c r="C525" s="7" t="inlineStr">
        <is>
          <t>Goods Receipt</t>
        </is>
      </c>
      <c r="D525" s="7" t="inlineStr">
        <is>
          <t>SUP008</t>
        </is>
      </c>
      <c r="E525" s="7">
        <f>IF(E525="","Unknown Supplier",TRIM(E525))</f>
        <v/>
      </c>
      <c r="F525" s="7">
        <f>IF(F525="","Unclassified",TRIM(F525))</f>
        <v/>
      </c>
      <c r="G525" s="7" t="inlineStr">
        <is>
          <t>Labels</t>
        </is>
      </c>
      <c r="H525" s="7" t="inlineStr">
        <is>
          <t>Corporate</t>
        </is>
      </c>
      <c r="I525" s="7" t="inlineStr">
        <is>
          <t>East</t>
        </is>
      </c>
      <c r="J525" s="7" t="n">
        <v>14</v>
      </c>
      <c r="K525" s="7" t="n">
        <v>716.8</v>
      </c>
      <c r="L525" s="7" t="n">
        <v>10035.19</v>
      </c>
      <c r="M525" s="7" t="inlineStr">
        <is>
          <t>Paid</t>
        </is>
      </c>
      <c r="N525" s="7">
        <f>IF(OR(E525="Apex Office Supplies",E525="Apex Office Supply Ltd"),"Apex Office Supplies",IF(OR(E525="Northstar IT Services",E525="North Star IT Svc"),"Northstar IT Services",IF(OR(E525="Metro Logistics",E525="Metro Logistics Pvt Ltd"),"Metro Logistics",E525)))</f>
        <v/>
      </c>
      <c r="O525" s="7">
        <f>IF(AND(ISNUMBER(L525),L525&gt;0),"Valid","Review")</f>
        <v/>
      </c>
      <c r="P525" s="7">
        <f>IF(OR(E525="",F525="",NOT(ISNUMBER(L525))),"Check Missing/Invalid Data","OK")</f>
        <v/>
      </c>
    </row>
    <row r="526">
      <c r="A526" s="7" t="inlineStr">
        <is>
          <t>PO-00136</t>
        </is>
      </c>
      <c r="B526" s="9" t="n">
        <v>45987</v>
      </c>
      <c r="C526" s="7" t="inlineStr">
        <is>
          <t>Goods Receipt</t>
        </is>
      </c>
      <c r="D526" s="7" t="inlineStr">
        <is>
          <t>SUP001</t>
        </is>
      </c>
      <c r="E526" s="7">
        <f>IF(E526="","Unknown Supplier",TRIM(E526))</f>
        <v/>
      </c>
      <c r="F526" s="7">
        <f>IF(F526="","Unclassified",TRIM(F526))</f>
        <v/>
      </c>
      <c r="G526" s="7" t="inlineStr">
        <is>
          <t>Digital campaign</t>
        </is>
      </c>
      <c r="H526" s="7" t="inlineStr">
        <is>
          <t>Sales</t>
        </is>
      </c>
      <c r="I526" s="7" t="inlineStr">
        <is>
          <t>West</t>
        </is>
      </c>
      <c r="J526" s="7" t="n">
        <v>55</v>
      </c>
      <c r="K526" s="7" t="n">
        <v>277.63</v>
      </c>
      <c r="L526" s="7" t="n">
        <v>15269.7</v>
      </c>
      <c r="M526" s="7" t="inlineStr">
        <is>
          <t>Paid</t>
        </is>
      </c>
      <c r="N526" s="7">
        <f>IF(OR(E526="Apex Office Supplies",E526="Apex Office Supply Ltd"),"Apex Office Supplies",IF(OR(E526="Northstar IT Services",E526="North Star IT Svc"),"Northstar IT Services",IF(OR(E526="Metro Logistics",E526="Metro Logistics Pvt Ltd"),"Metro Logistics",E526)))</f>
        <v/>
      </c>
      <c r="O526" s="7">
        <f>IF(AND(ISNUMBER(L526),L526&gt;0),"Valid","Review")</f>
        <v/>
      </c>
      <c r="P526" s="7">
        <f>IF(OR(E526="",F526="",NOT(ISNUMBER(L526))),"Check Missing/Invalid Data","OK")</f>
        <v/>
      </c>
    </row>
    <row r="527">
      <c r="A527" s="7" t="inlineStr">
        <is>
          <t>PO-00276</t>
        </is>
      </c>
      <c r="B527" s="9" t="n">
        <v>45988</v>
      </c>
      <c r="C527" s="7" t="inlineStr">
        <is>
          <t>Goods Receipt</t>
        </is>
      </c>
      <c r="D527" s="7" t="inlineStr">
        <is>
          <t>SUP006</t>
        </is>
      </c>
      <c r="E527" s="7">
        <f>IF(E527="","Unknown Supplier",TRIM(E527))</f>
        <v/>
      </c>
      <c r="F527" s="7">
        <f>IF(F527="","Unclassified",TRIM(F527))</f>
        <v/>
      </c>
      <c r="G527" s="7" t="inlineStr">
        <is>
          <t>Freight services</t>
        </is>
      </c>
      <c r="H527" s="7" t="inlineStr">
        <is>
          <t>Operations</t>
        </is>
      </c>
      <c r="I527" s="7" t="inlineStr">
        <is>
          <t>South</t>
        </is>
      </c>
      <c r="J527" s="7" t="n">
        <v>13</v>
      </c>
      <c r="K527" s="7" t="n">
        <v>2021.74</v>
      </c>
      <c r="L527" s="7" t="n">
        <v>26282.56</v>
      </c>
      <c r="M527" s="7" t="inlineStr">
        <is>
          <t>Overdue</t>
        </is>
      </c>
      <c r="N527" s="7">
        <f>IF(OR(E527="Apex Office Supplies",E527="Apex Office Supply Ltd"),"Apex Office Supplies",IF(OR(E527="Northstar IT Services",E527="North Star IT Svc"),"Northstar IT Services",IF(OR(E527="Metro Logistics",E527="Metro Logistics Pvt Ltd"),"Metro Logistics",E527)))</f>
        <v/>
      </c>
      <c r="O527" s="7">
        <f>IF(AND(ISNUMBER(L527),L527&gt;0),"Valid","Review")</f>
        <v/>
      </c>
      <c r="P527" s="7">
        <f>IF(OR(E527="",F527="",NOT(ISNUMBER(L527))),"Check Missing/Invalid Data","OK")</f>
        <v/>
      </c>
    </row>
    <row r="528">
      <c r="A528" s="7" t="inlineStr">
        <is>
          <t>PO-00366</t>
        </is>
      </c>
      <c r="B528" s="9" t="n">
        <v>45988</v>
      </c>
      <c r="C528" s="7" t="inlineStr">
        <is>
          <t>Invoice</t>
        </is>
      </c>
      <c r="D528" s="7" t="inlineStr">
        <is>
          <t>SUP008</t>
        </is>
      </c>
      <c r="E528" s="7">
        <f>IF(E528="","Unknown Supplier",TRIM(E528))</f>
        <v/>
      </c>
      <c r="F528" s="7">
        <f>IF(F528="","Unclassified",TRIM(F528))</f>
        <v/>
      </c>
      <c r="G528" s="7" t="inlineStr">
        <is>
          <t>Corrugated boxes</t>
        </is>
      </c>
      <c r="H528" s="7" t="inlineStr">
        <is>
          <t>Corporate</t>
        </is>
      </c>
      <c r="I528" s="7" t="inlineStr">
        <is>
          <t>West</t>
        </is>
      </c>
      <c r="J528" s="7" t="n">
        <v>109</v>
      </c>
      <c r="K528" s="7" t="n">
        <v>16.19</v>
      </c>
      <c r="L528" s="7" t="n">
        <v>1764.58</v>
      </c>
      <c r="M528" s="7" t="inlineStr">
        <is>
          <t>Paid</t>
        </is>
      </c>
      <c r="N528" s="7">
        <f>IF(OR(E528="Apex Office Supplies",E528="Apex Office Supply Ltd"),"Apex Office Supplies",IF(OR(E528="Northstar IT Services",E528="North Star IT Svc"),"Northstar IT Services",IF(OR(E528="Metro Logistics",E528="Metro Logistics Pvt Ltd"),"Metro Logistics",E528)))</f>
        <v/>
      </c>
      <c r="O528" s="7">
        <f>IF(AND(ISNUMBER(L528),L528&gt;0),"Valid","Review")</f>
        <v/>
      </c>
      <c r="P528" s="7">
        <f>IF(OR(E528="",F528="",NOT(ISNUMBER(L528))),"Check Missing/Invalid Data","OK")</f>
        <v/>
      </c>
    </row>
    <row r="529">
      <c r="A529" s="7" t="inlineStr">
        <is>
          <t>PO-00576</t>
        </is>
      </c>
      <c r="B529" s="9" t="n">
        <v>45988</v>
      </c>
      <c r="C529" s="7" t="inlineStr">
        <is>
          <t>Invoice</t>
        </is>
      </c>
      <c r="D529" s="7" t="inlineStr">
        <is>
          <t>SUP003</t>
        </is>
      </c>
      <c r="E529" s="7">
        <f>IF(E529="","Unknown Supplier",TRIM(E529))</f>
        <v/>
      </c>
      <c r="F529" s="7">
        <f>IF(F529="","Unclassified",TRIM(F529))</f>
        <v/>
      </c>
      <c r="G529" s="7" t="inlineStr">
        <is>
          <t>Software support</t>
        </is>
      </c>
      <c r="H529" s="7" t="inlineStr">
        <is>
          <t>Technology</t>
        </is>
      </c>
      <c r="I529" s="7" t="inlineStr">
        <is>
          <t>East</t>
        </is>
      </c>
      <c r="J529" s="7" t="n">
        <v>17</v>
      </c>
      <c r="K529" s="7" t="n">
        <v>1427.14</v>
      </c>
      <c r="L529" s="7" t="n">
        <v>24261.41</v>
      </c>
      <c r="M529" s="7" t="inlineStr">
        <is>
          <t>Pending</t>
        </is>
      </c>
      <c r="N529" s="7">
        <f>IF(OR(E529="Apex Office Supplies",E529="Apex Office Supply Ltd"),"Apex Office Supplies",IF(OR(E529="Northstar IT Services",E529="North Star IT Svc"),"Northstar IT Services",IF(OR(E529="Metro Logistics",E529="Metro Logistics Pvt Ltd"),"Metro Logistics",E529)))</f>
        <v/>
      </c>
      <c r="O529" s="7">
        <f>IF(AND(ISNUMBER(L529),L529&gt;0),"Valid","Review")</f>
        <v/>
      </c>
      <c r="P529" s="7">
        <f>IF(OR(E529="",F529="",NOT(ISNUMBER(L529))),"Check Missing/Invalid Data","OK")</f>
        <v/>
      </c>
    </row>
    <row r="530">
      <c r="A530" s="7" t="inlineStr">
        <is>
          <t>PO-00119</t>
        </is>
      </c>
      <c r="B530" s="9" t="n">
        <v>45988</v>
      </c>
      <c r="C530" s="7" t="inlineStr">
        <is>
          <t>Invoice</t>
        </is>
      </c>
      <c r="D530" s="7" t="inlineStr">
        <is>
          <t>SUP001</t>
        </is>
      </c>
      <c r="E530" s="7">
        <f>IF(E530="","Unknown Supplier",TRIM(E530))</f>
        <v/>
      </c>
      <c r="F530" s="7">
        <f>IF(F530="","Unclassified",TRIM(F530))</f>
        <v/>
      </c>
      <c r="G530" s="7" t="inlineStr">
        <is>
          <t>Toner cartridges</t>
        </is>
      </c>
      <c r="H530" s="7" t="inlineStr">
        <is>
          <t>Operations</t>
        </is>
      </c>
      <c r="I530" s="7" t="inlineStr">
        <is>
          <t>North</t>
        </is>
      </c>
      <c r="J530" s="7" t="n">
        <v>75</v>
      </c>
      <c r="K530" s="7" t="n">
        <v>106.69</v>
      </c>
      <c r="L530" s="7" t="n">
        <v>8001.92</v>
      </c>
      <c r="M530" s="7" t="inlineStr">
        <is>
          <t>Pending</t>
        </is>
      </c>
      <c r="N530" s="7">
        <f>IF(OR(E530="Apex Office Supplies",E530="Apex Office Supply Ltd"),"Apex Office Supplies",IF(OR(E530="Northstar IT Services",E530="North Star IT Svc"),"Northstar IT Services",IF(OR(E530="Metro Logistics",E530="Metro Logistics Pvt Ltd"),"Metro Logistics",E530)))</f>
        <v/>
      </c>
      <c r="O530" s="7">
        <f>IF(AND(ISNUMBER(L530),L530&gt;0),"Valid","Review")</f>
        <v/>
      </c>
      <c r="P530" s="7">
        <f>IF(OR(E530="",F530="",NOT(ISNUMBER(L530))),"Check Missing/Invalid Data","OK")</f>
        <v/>
      </c>
    </row>
    <row r="531">
      <c r="A531" s="7" t="inlineStr">
        <is>
          <t>PO-00496</t>
        </is>
      </c>
      <c r="B531" s="9" t="n">
        <v>45988</v>
      </c>
      <c r="C531" s="7" t="inlineStr">
        <is>
          <t>Purchase Order</t>
        </is>
      </c>
      <c r="D531" s="7" t="inlineStr">
        <is>
          <t>SUP010</t>
        </is>
      </c>
      <c r="E531" s="7">
        <f>IF(E531="","Unknown Supplier",TRIM(E531))</f>
        <v/>
      </c>
      <c r="F531" s="7">
        <f>IF(F531="","Unclassified",TRIM(F531))</f>
        <v/>
      </c>
      <c r="G531" s="7" t="inlineStr">
        <is>
          <t>Natural gas</t>
        </is>
      </c>
      <c r="H531" s="7" t="inlineStr">
        <is>
          <t>Operations</t>
        </is>
      </c>
      <c r="I531" s="7" t="inlineStr">
        <is>
          <t>East</t>
        </is>
      </c>
      <c r="J531" s="7" t="n">
        <v>106</v>
      </c>
      <c r="K531" s="7" t="n">
        <v>48.47</v>
      </c>
      <c r="L531" s="7" t="n">
        <v>5137.41</v>
      </c>
      <c r="M531" s="7" t="inlineStr">
        <is>
          <t>Overdue</t>
        </is>
      </c>
      <c r="N531" s="7">
        <f>IF(OR(E531="Apex Office Supplies",E531="Apex Office Supply Ltd"),"Apex Office Supplies",IF(OR(E531="Northstar IT Services",E531="North Star IT Svc"),"Northstar IT Services",IF(OR(E531="Metro Logistics",E531="Metro Logistics Pvt Ltd"),"Metro Logistics",E531)))</f>
        <v/>
      </c>
      <c r="O531" s="7">
        <f>IF(AND(ISNUMBER(L531),L531&gt;0),"Valid","Review")</f>
        <v/>
      </c>
      <c r="P531" s="7">
        <f>IF(OR(E531="",F531="",NOT(ISNUMBER(L531))),"Check Missing/Invalid Data","OK")</f>
        <v/>
      </c>
    </row>
    <row r="532">
      <c r="A532" s="7" t="inlineStr">
        <is>
          <t>PO-00157</t>
        </is>
      </c>
      <c r="B532" s="9" t="n">
        <v>45988</v>
      </c>
      <c r="C532" s="7" t="inlineStr">
        <is>
          <t>Purchase Order</t>
        </is>
      </c>
      <c r="D532" s="7" t="inlineStr">
        <is>
          <t>SUP003</t>
        </is>
      </c>
      <c r="E532" s="7">
        <f>IF(E532="","Unknown Supplier",TRIM(E532))</f>
        <v/>
      </c>
      <c r="F532" s="7">
        <f>IF(F532="","Unclassified",TRIM(F532))</f>
        <v/>
      </c>
      <c r="G532" s="7" t="inlineStr">
        <is>
          <t>IT consulting</t>
        </is>
      </c>
      <c r="H532" s="7" t="inlineStr">
        <is>
          <t>Operations</t>
        </is>
      </c>
      <c r="I532" s="7" t="inlineStr">
        <is>
          <t>North</t>
        </is>
      </c>
      <c r="J532" s="7" t="n">
        <v>26</v>
      </c>
      <c r="K532" s="7" t="n">
        <v>179.05</v>
      </c>
      <c r="L532" s="7" t="n">
        <v>4655.32</v>
      </c>
      <c r="M532" s="7" t="inlineStr">
        <is>
          <t>Paid</t>
        </is>
      </c>
      <c r="N532" s="7">
        <f>IF(OR(E532="Apex Office Supplies",E532="Apex Office Supply Ltd"),"Apex Office Supplies",IF(OR(E532="Northstar IT Services",E532="North Star IT Svc"),"Northstar IT Services",IF(OR(E532="Metro Logistics",E532="Metro Logistics Pvt Ltd"),"Metro Logistics",E532)))</f>
        <v/>
      </c>
      <c r="O532" s="7">
        <f>IF(AND(ISNUMBER(L532),L532&gt;0),"Valid","Review")</f>
        <v/>
      </c>
      <c r="P532" s="7">
        <f>IF(OR(E532="",F532="",NOT(ISNUMBER(L532))),"Check Missing/Invalid Data","OK")</f>
        <v/>
      </c>
    </row>
    <row r="533">
      <c r="A533" s="7" t="inlineStr">
        <is>
          <t>PO-00489</t>
        </is>
      </c>
      <c r="B533" s="9" t="n">
        <v>45988</v>
      </c>
      <c r="C533" s="7" t="inlineStr">
        <is>
          <t>Invoice</t>
        </is>
      </c>
      <c r="D533" s="7" t="inlineStr">
        <is>
          <t>SUP009</t>
        </is>
      </c>
      <c r="E533" s="7">
        <f>IF(E533="","Unknown Supplier",TRIM(E533))</f>
        <v/>
      </c>
      <c r="F533" s="7">
        <f>IF(F533="","Unclassified",TRIM(F533))</f>
        <v/>
      </c>
      <c r="G533" s="7" t="inlineStr">
        <is>
          <t>Business consulting</t>
        </is>
      </c>
      <c r="H533" s="7" t="inlineStr">
        <is>
          <t>Corporate</t>
        </is>
      </c>
      <c r="I533" s="7" t="inlineStr">
        <is>
          <t>South</t>
        </is>
      </c>
      <c r="J533" s="7" t="n">
        <v>79</v>
      </c>
      <c r="K533" s="7" t="n">
        <v>73.38</v>
      </c>
      <c r="L533" s="7" t="n">
        <v>5796.64</v>
      </c>
      <c r="M533" s="7" t="inlineStr">
        <is>
          <t>Overdue</t>
        </is>
      </c>
      <c r="N533" s="7">
        <f>IF(OR(E533="Apex Office Supplies",E533="Apex Office Supply Ltd"),"Apex Office Supplies",IF(OR(E533="Northstar IT Services",E533="North Star IT Svc"),"Northstar IT Services",IF(OR(E533="Metro Logistics",E533="Metro Logistics Pvt Ltd"),"Metro Logistics",E533)))</f>
        <v/>
      </c>
      <c r="O533" s="7">
        <f>IF(AND(ISNUMBER(L533),L533&gt;0),"Valid","Review")</f>
        <v/>
      </c>
      <c r="P533" s="7">
        <f>IF(OR(E533="",F533="",NOT(ISNUMBER(L533))),"Check Missing/Invalid Data","OK")</f>
        <v/>
      </c>
    </row>
    <row r="534">
      <c r="A534" s="7" t="inlineStr">
        <is>
          <t>PO-00416</t>
        </is>
      </c>
      <c r="B534" s="9" t="n">
        <v>45989</v>
      </c>
      <c r="C534" s="7" t="inlineStr">
        <is>
          <t>Invoice</t>
        </is>
      </c>
      <c r="D534" s="7" t="inlineStr">
        <is>
          <t>SUP010</t>
        </is>
      </c>
      <c r="E534" s="7">
        <f>IF(E534="","Unknown Supplier",TRIM(E534))</f>
        <v/>
      </c>
      <c r="F534" s="7">
        <f>IF(F534="","Unclassified",TRIM(F534))</f>
        <v/>
      </c>
      <c r="G534" s="7" t="inlineStr">
        <is>
          <t>Electricity</t>
        </is>
      </c>
      <c r="H534" s="7" t="inlineStr">
        <is>
          <t>Technology</t>
        </is>
      </c>
      <c r="I534" s="7" t="inlineStr">
        <is>
          <t>East</t>
        </is>
      </c>
      <c r="J534" s="7" t="n">
        <v>14</v>
      </c>
      <c r="K534" s="7" t="n">
        <v>389.77</v>
      </c>
      <c r="L534" s="7" t="n">
        <v>5456.75</v>
      </c>
      <c r="M534" s="7" t="inlineStr">
        <is>
          <t>Overdue</t>
        </is>
      </c>
      <c r="N534" s="7">
        <f>IF(OR(E534="Apex Office Supplies",E534="Apex Office Supply Ltd"),"Apex Office Supplies",IF(OR(E534="Northstar IT Services",E534="North Star IT Svc"),"Northstar IT Services",IF(OR(E534="Metro Logistics",E534="Metro Logistics Pvt Ltd"),"Metro Logistics",E534)))</f>
        <v/>
      </c>
      <c r="O534" s="7">
        <f>IF(AND(ISNUMBER(L534),L534&gt;0),"Valid","Review")</f>
        <v/>
      </c>
      <c r="P534" s="7">
        <f>IF(OR(E534="",F534="",NOT(ISNUMBER(L534))),"Check Missing/Invalid Data","OK")</f>
        <v/>
      </c>
    </row>
    <row r="535">
      <c r="A535" s="7" t="inlineStr">
        <is>
          <t>PO-00487</t>
        </is>
      </c>
      <c r="B535" s="9" t="n">
        <v>45989</v>
      </c>
      <c r="C535" s="7" t="inlineStr">
        <is>
          <t>Goods Receipt</t>
        </is>
      </c>
      <c r="D535" s="7" t="inlineStr">
        <is>
          <t>SUP006</t>
        </is>
      </c>
      <c r="E535" s="7">
        <f>IF(E535="","Unknown Supplier",TRIM(E535))</f>
        <v/>
      </c>
      <c r="F535" s="7">
        <f>IF(F535="","Unclassified",TRIM(F535))</f>
        <v/>
      </c>
      <c r="G535" s="7" t="inlineStr">
        <is>
          <t>Freight services</t>
        </is>
      </c>
      <c r="H535" s="7" t="inlineStr">
        <is>
          <t>Corporate</t>
        </is>
      </c>
      <c r="I535" s="7" t="inlineStr">
        <is>
          <t>North</t>
        </is>
      </c>
      <c r="J535" s="7" t="n">
        <v>112</v>
      </c>
      <c r="K535" s="7" t="n">
        <v>4.85</v>
      </c>
      <c r="L535" s="7" t="n">
        <v>542.92</v>
      </c>
      <c r="M535" s="7" t="inlineStr">
        <is>
          <t>Paid</t>
        </is>
      </c>
      <c r="N535" s="7">
        <f>IF(OR(E535="Apex Office Supplies",E535="Apex Office Supply Ltd"),"Apex Office Supplies",IF(OR(E535="Northstar IT Services",E535="North Star IT Svc"),"Northstar IT Services",IF(OR(E535="Metro Logistics",E535="Metro Logistics Pvt Ltd"),"Metro Logistics",E535)))</f>
        <v/>
      </c>
      <c r="O535" s="7">
        <f>IF(AND(ISNUMBER(L535),L535&gt;0),"Valid","Review")</f>
        <v/>
      </c>
      <c r="P535" s="7">
        <f>IF(OR(E535="",F535="",NOT(ISNUMBER(L535))),"Check Missing/Invalid Data","OK")</f>
        <v/>
      </c>
    </row>
    <row r="536">
      <c r="A536" s="7" t="inlineStr">
        <is>
          <t>PO-00240</t>
        </is>
      </c>
      <c r="B536" s="9" t="n">
        <v>45992</v>
      </c>
      <c r="C536" s="7" t="inlineStr">
        <is>
          <t>Invoice</t>
        </is>
      </c>
      <c r="D536" s="7" t="inlineStr">
        <is>
          <t>SUP006</t>
        </is>
      </c>
      <c r="E536" s="7">
        <f>IF(E536="","Unknown Supplier",TRIM(E536))</f>
        <v/>
      </c>
      <c r="F536" s="7">
        <f>IF(F536="","Unclassified",TRIM(F536))</f>
        <v/>
      </c>
      <c r="G536" s="7" t="inlineStr">
        <is>
          <t>Courier services</t>
        </is>
      </c>
      <c r="H536" s="7" t="inlineStr">
        <is>
          <t>Operations</t>
        </is>
      </c>
      <c r="I536" s="7" t="inlineStr">
        <is>
          <t>West</t>
        </is>
      </c>
      <c r="J536" s="7" t="n">
        <v>16</v>
      </c>
      <c r="K536" s="7" t="n">
        <v>130.77</v>
      </c>
      <c r="L536" s="7" t="n">
        <v>2092.33</v>
      </c>
      <c r="M536" s="7" t="inlineStr">
        <is>
          <t>Overdue</t>
        </is>
      </c>
      <c r="N536" s="7">
        <f>IF(OR(E536="Apex Office Supplies",E536="Apex Office Supply Ltd"),"Apex Office Supplies",IF(OR(E536="Northstar IT Services",E536="North Star IT Svc"),"Northstar IT Services",IF(OR(E536="Metro Logistics",E536="Metro Logistics Pvt Ltd"),"Metro Logistics",E536)))</f>
        <v/>
      </c>
      <c r="O536" s="7">
        <f>IF(AND(ISNUMBER(L536),L536&gt;0),"Valid","Review")</f>
        <v/>
      </c>
      <c r="P536" s="7">
        <f>IF(OR(E536="",F536="",NOT(ISNUMBER(L536))),"Check Missing/Invalid Data","OK")</f>
        <v/>
      </c>
    </row>
    <row r="537">
      <c r="A537" s="7" t="inlineStr">
        <is>
          <t>PO-00317</t>
        </is>
      </c>
      <c r="B537" s="9" t="n">
        <v>45992</v>
      </c>
      <c r="C537" s="7" t="inlineStr">
        <is>
          <t>Invoice</t>
        </is>
      </c>
      <c r="D537" s="7" t="inlineStr">
        <is>
          <t>SUP004</t>
        </is>
      </c>
      <c r="E537" s="7">
        <f>IF(E537="","Unknown Supplier",TRIM(E537))</f>
        <v/>
      </c>
      <c r="F537" s="7">
        <f>IF(F537="","Unclassified",TRIM(F537))</f>
        <v/>
      </c>
      <c r="G537" s="7" t="inlineStr">
        <is>
          <t>Cloud services</t>
        </is>
      </c>
      <c r="H537" s="7" t="inlineStr">
        <is>
          <t>Corporate</t>
        </is>
      </c>
      <c r="I537" s="7" t="inlineStr">
        <is>
          <t>West</t>
        </is>
      </c>
      <c r="J537" s="7" t="n">
        <v>58</v>
      </c>
      <c r="K537" s="7" t="n">
        <v>527.23</v>
      </c>
      <c r="L537" s="7" t="n">
        <v>30579.11</v>
      </c>
      <c r="M537" s="7" t="inlineStr">
        <is>
          <t>Paid</t>
        </is>
      </c>
      <c r="N537" s="7">
        <f>IF(OR(E537="Apex Office Supplies",E537="Apex Office Supply Ltd"),"Apex Office Supplies",IF(OR(E537="Northstar IT Services",E537="North Star IT Svc"),"Northstar IT Services",IF(OR(E537="Metro Logistics",E537="Metro Logistics Pvt Ltd"),"Metro Logistics",E537)))</f>
        <v/>
      </c>
      <c r="O537" s="7">
        <f>IF(AND(ISNUMBER(L537),L537&gt;0),"Valid","Review")</f>
        <v/>
      </c>
      <c r="P537" s="7">
        <f>IF(OR(E537="",F537="",NOT(ISNUMBER(L537))),"Check Missing/Invalid Data","OK")</f>
        <v/>
      </c>
    </row>
    <row r="538">
      <c r="A538" s="7" t="inlineStr">
        <is>
          <t>PO-00214</t>
        </is>
      </c>
      <c r="B538" s="9" t="n">
        <v>45992</v>
      </c>
      <c r="C538" s="7" t="inlineStr">
        <is>
          <t>Purchase Order</t>
        </is>
      </c>
      <c r="D538" s="7" t="inlineStr">
        <is>
          <t>SUP011</t>
        </is>
      </c>
      <c r="E538" s="7">
        <f>IF(E538="","Unknown Supplier",TRIM(E538))</f>
        <v/>
      </c>
      <c r="F538" s="7">
        <f>IF(F538="","Unclassified",TRIM(F538))</f>
        <v/>
      </c>
      <c r="G538" s="7" t="inlineStr">
        <is>
          <t>Print advertising</t>
        </is>
      </c>
      <c r="H538" s="7" t="inlineStr">
        <is>
          <t>Operations</t>
        </is>
      </c>
      <c r="I538" s="7" t="inlineStr">
        <is>
          <t>East</t>
        </is>
      </c>
      <c r="J538" s="7" t="n">
        <v>109</v>
      </c>
      <c r="K538" s="7" t="n">
        <v>89.14</v>
      </c>
      <c r="L538" s="7" t="n">
        <v>9716.030000000001</v>
      </c>
      <c r="M538" s="7" t="inlineStr">
        <is>
          <t>Overdue</t>
        </is>
      </c>
      <c r="N538" s="7">
        <f>IF(OR(E538="Apex Office Supplies",E538="Apex Office Supply Ltd"),"Apex Office Supplies",IF(OR(E538="Northstar IT Services",E538="North Star IT Svc"),"Northstar IT Services",IF(OR(E538="Metro Logistics",E538="Metro Logistics Pvt Ltd"),"Metro Logistics",E538)))</f>
        <v/>
      </c>
      <c r="O538" s="7">
        <f>IF(AND(ISNUMBER(L538),L538&gt;0),"Valid","Review")</f>
        <v/>
      </c>
      <c r="P538" s="7">
        <f>IF(OR(E538="",F538="",NOT(ISNUMBER(L538))),"Check Missing/Invalid Data","OK")</f>
        <v/>
      </c>
    </row>
    <row r="539">
      <c r="A539" s="7" t="inlineStr">
        <is>
          <t>PO-00519</t>
        </is>
      </c>
      <c r="B539" s="9" t="n">
        <v>45993</v>
      </c>
      <c r="C539" s="7" t="inlineStr">
        <is>
          <t>Purchase Order</t>
        </is>
      </c>
      <c r="D539" s="7" t="inlineStr">
        <is>
          <t>SUP004</t>
        </is>
      </c>
      <c r="E539" s="7">
        <f>IF(E539="","Unknown Supplier",TRIM(E539))</f>
        <v/>
      </c>
      <c r="F539" s="7">
        <f>IF(F539="","Unclassified",TRIM(F539))</f>
        <v/>
      </c>
      <c r="G539" s="7" t="inlineStr">
        <is>
          <t>Software support</t>
        </is>
      </c>
      <c r="H539" s="7" t="inlineStr">
        <is>
          <t>Sales</t>
        </is>
      </c>
      <c r="I539" s="7" t="inlineStr">
        <is>
          <t>East</t>
        </is>
      </c>
      <c r="J539" s="7" t="n">
        <v>47</v>
      </c>
      <c r="K539" s="7" t="n">
        <v>208.64</v>
      </c>
      <c r="L539" s="7" t="n">
        <v>9806.15</v>
      </c>
      <c r="M539" s="7" t="inlineStr">
        <is>
          <t>Pending</t>
        </is>
      </c>
      <c r="N539" s="7">
        <f>IF(OR(E539="Apex Office Supplies",E539="Apex Office Supply Ltd"),"Apex Office Supplies",IF(OR(E539="Northstar IT Services",E539="North Star IT Svc"),"Northstar IT Services",IF(OR(E539="Metro Logistics",E539="Metro Logistics Pvt Ltd"),"Metro Logistics",E539)))</f>
        <v/>
      </c>
      <c r="O539" s="7">
        <f>IF(AND(ISNUMBER(L539),L539&gt;0),"Valid","Review")</f>
        <v/>
      </c>
      <c r="P539" s="7">
        <f>IF(OR(E539="",F539="",NOT(ISNUMBER(L539))),"Check Missing/Invalid Data","OK")</f>
        <v/>
      </c>
    </row>
    <row r="540">
      <c r="A540" s="7" t="inlineStr">
        <is>
          <t>PO-00492</t>
        </is>
      </c>
      <c r="B540" s="9" t="n">
        <v>45993</v>
      </c>
      <c r="C540" s="7" t="inlineStr">
        <is>
          <t>Purchase Order</t>
        </is>
      </c>
      <c r="D540" s="7" t="inlineStr">
        <is>
          <t>SUP004</t>
        </is>
      </c>
      <c r="E540" s="7">
        <f>IF(E540="","Unknown Supplier",TRIM(E540))</f>
        <v/>
      </c>
      <c r="F540" s="7">
        <f>IF(F540="","Unclassified",TRIM(F540))</f>
        <v/>
      </c>
      <c r="G540" s="7" t="inlineStr">
        <is>
          <t>Cloud services</t>
        </is>
      </c>
      <c r="H540" s="7" t="inlineStr">
        <is>
          <t>Sales</t>
        </is>
      </c>
      <c r="I540" s="7" t="inlineStr">
        <is>
          <t>West</t>
        </is>
      </c>
      <c r="J540" s="7" t="n">
        <v>116</v>
      </c>
      <c r="K540" s="7" t="n">
        <v>164.09</v>
      </c>
      <c r="L540" s="7" t="n">
        <v>19034.8</v>
      </c>
      <c r="M540" s="7" t="inlineStr">
        <is>
          <t>Pending</t>
        </is>
      </c>
      <c r="N540" s="7">
        <f>IF(OR(E540="Apex Office Supplies",E540="Apex Office Supply Ltd"),"Apex Office Supplies",IF(OR(E540="Northstar IT Services",E540="North Star IT Svc"),"Northstar IT Services",IF(OR(E540="Metro Logistics",E540="Metro Logistics Pvt Ltd"),"Metro Logistics",E540)))</f>
        <v/>
      </c>
      <c r="O540" s="7">
        <f>IF(AND(ISNUMBER(L540),L540&gt;0),"Valid","Review")</f>
        <v/>
      </c>
      <c r="P540" s="7">
        <f>IF(OR(E540="",F540="",NOT(ISNUMBER(L540))),"Check Missing/Invalid Data","OK")</f>
        <v/>
      </c>
    </row>
    <row r="541">
      <c r="A541" s="7" t="inlineStr">
        <is>
          <t>PO-00585</t>
        </is>
      </c>
      <c r="B541" s="9" t="n">
        <v>45993</v>
      </c>
      <c r="C541" s="7" t="inlineStr">
        <is>
          <t>Goods Receipt</t>
        </is>
      </c>
      <c r="D541" s="7" t="inlineStr">
        <is>
          <t>SUP008</t>
        </is>
      </c>
      <c r="E541" s="7">
        <f>IF(E541="","Unknown Supplier",TRIM(E541))</f>
        <v/>
      </c>
      <c r="F541" s="7">
        <f>IF(F541="","Unclassified",TRIM(F541))</f>
        <v/>
      </c>
      <c r="G541" s="7" t="inlineStr">
        <is>
          <t>Corrugated boxes</t>
        </is>
      </c>
      <c r="H541" s="7" t="inlineStr">
        <is>
          <t>Technology</t>
        </is>
      </c>
      <c r="I541" s="7" t="inlineStr">
        <is>
          <t>West</t>
        </is>
      </c>
      <c r="J541" s="7" t="n">
        <v>60</v>
      </c>
      <c r="K541" s="7" t="n">
        <v>249.96</v>
      </c>
      <c r="L541" s="7" t="n">
        <v>14997.55</v>
      </c>
      <c r="M541" s="7" t="inlineStr">
        <is>
          <t>Pending</t>
        </is>
      </c>
      <c r="N541" s="7">
        <f>IF(OR(E541="Apex Office Supplies",E541="Apex Office Supply Ltd"),"Apex Office Supplies",IF(OR(E541="Northstar IT Services",E541="North Star IT Svc"),"Northstar IT Services",IF(OR(E541="Metro Logistics",E541="Metro Logistics Pvt Ltd"),"Metro Logistics",E541)))</f>
        <v/>
      </c>
      <c r="O541" s="7">
        <f>IF(AND(ISNUMBER(L541),L541&gt;0),"Valid","Review")</f>
        <v/>
      </c>
      <c r="P541" s="7">
        <f>IF(OR(E541="",F541="",NOT(ISNUMBER(L541))),"Check Missing/Invalid Data","OK")</f>
        <v/>
      </c>
    </row>
    <row r="542">
      <c r="A542" s="7" t="inlineStr">
        <is>
          <t>PO-00455</t>
        </is>
      </c>
      <c r="B542" s="9" t="n">
        <v>45994</v>
      </c>
      <c r="C542" s="7" t="inlineStr">
        <is>
          <t>Goods Receipt</t>
        </is>
      </c>
      <c r="D542" s="7" t="inlineStr">
        <is>
          <t>SUP006</t>
        </is>
      </c>
      <c r="E542" s="7">
        <f>IF(E542="","Unknown Supplier",TRIM(E542))</f>
        <v/>
      </c>
      <c r="F542" s="7">
        <f>IF(F542="","Unclassified",TRIM(F542))</f>
        <v/>
      </c>
      <c r="G542" s="7" t="inlineStr">
        <is>
          <t>Freight services</t>
        </is>
      </c>
      <c r="H542" s="7" t="inlineStr">
        <is>
          <t>Corporate</t>
        </is>
      </c>
      <c r="I542" s="7" t="inlineStr">
        <is>
          <t>East</t>
        </is>
      </c>
      <c r="J542" s="7" t="n">
        <v>98</v>
      </c>
      <c r="K542" s="7" t="n">
        <v>37.45</v>
      </c>
      <c r="L542" s="7" t="n">
        <v>3669.85</v>
      </c>
      <c r="M542" s="7" t="inlineStr">
        <is>
          <t>Pending</t>
        </is>
      </c>
      <c r="N542" s="7">
        <f>IF(OR(E542="Apex Office Supplies",E542="Apex Office Supply Ltd"),"Apex Office Supplies",IF(OR(E542="Northstar IT Services",E542="North Star IT Svc"),"Northstar IT Services",IF(OR(E542="Metro Logistics",E542="Metro Logistics Pvt Ltd"),"Metro Logistics",E542)))</f>
        <v/>
      </c>
      <c r="O542" s="7">
        <f>IF(AND(ISNUMBER(L542),L542&gt;0),"Valid","Review")</f>
        <v/>
      </c>
      <c r="P542" s="7">
        <f>IF(OR(E542="",F542="",NOT(ISNUMBER(L542))),"Check Missing/Invalid Data","OK")</f>
        <v/>
      </c>
    </row>
    <row r="543">
      <c r="A543" s="7" t="inlineStr">
        <is>
          <t>PO-00461</t>
        </is>
      </c>
      <c r="B543" s="9" t="n">
        <v>45994</v>
      </c>
      <c r="C543" s="7" t="inlineStr">
        <is>
          <t>Invoice</t>
        </is>
      </c>
      <c r="D543" s="7" t="inlineStr">
        <is>
          <t>SUP010</t>
        </is>
      </c>
      <c r="E543" s="7">
        <f>IF(E543="","Unknown Supplier",TRIM(E543))</f>
        <v/>
      </c>
      <c r="F543" s="7">
        <f>IF(F543="","Unclassified",TRIM(F543))</f>
        <v/>
      </c>
      <c r="G543" s="7" t="inlineStr">
        <is>
          <t>Water services</t>
        </is>
      </c>
      <c r="H543" s="7" t="inlineStr">
        <is>
          <t>Manufacturing</t>
        </is>
      </c>
      <c r="I543" s="7" t="inlineStr">
        <is>
          <t>South</t>
        </is>
      </c>
      <c r="J543" s="7" t="n">
        <v>113</v>
      </c>
      <c r="K543" s="7" t="n">
        <v>51.99</v>
      </c>
      <c r="L543" s="7" t="n">
        <v>5874.57</v>
      </c>
      <c r="M543" s="7" t="inlineStr">
        <is>
          <t>Pending</t>
        </is>
      </c>
      <c r="N543" s="7">
        <f>IF(OR(E543="Apex Office Supplies",E543="Apex Office Supply Ltd"),"Apex Office Supplies",IF(OR(E543="Northstar IT Services",E543="North Star IT Svc"),"Northstar IT Services",IF(OR(E543="Metro Logistics",E543="Metro Logistics Pvt Ltd"),"Metro Logistics",E543)))</f>
        <v/>
      </c>
      <c r="O543" s="7">
        <f>IF(AND(ISNUMBER(L543),L543&gt;0),"Valid","Review")</f>
        <v/>
      </c>
      <c r="P543" s="7">
        <f>IF(OR(E543="",F543="",NOT(ISNUMBER(L543))),"Check Missing/Invalid Data","OK")</f>
        <v/>
      </c>
    </row>
    <row r="544">
      <c r="A544" s="7" t="inlineStr">
        <is>
          <t>PO-00145</t>
        </is>
      </c>
      <c r="B544" s="9" t="n">
        <v>45994</v>
      </c>
      <c r="C544" s="7" t="inlineStr">
        <is>
          <t>Invoice</t>
        </is>
      </c>
      <c r="D544" s="7" t="inlineStr">
        <is>
          <t>SUP012</t>
        </is>
      </c>
      <c r="E544" s="7">
        <f>IF(E544="","Unknown Supplier",TRIM(E544))</f>
        <v/>
      </c>
      <c r="F544" s="7">
        <f>IF(F544="","Unclassified",TRIM(F544))</f>
        <v/>
      </c>
      <c r="G544" s="7" t="inlineStr">
        <is>
          <t>Equipment servicing</t>
        </is>
      </c>
      <c r="H544" s="7" t="inlineStr">
        <is>
          <t>Technology</t>
        </is>
      </c>
      <c r="I544" s="7" t="inlineStr">
        <is>
          <t>North</t>
        </is>
      </c>
      <c r="J544" s="7" t="n">
        <v>90</v>
      </c>
      <c r="K544" s="7" t="n">
        <v>37.18</v>
      </c>
      <c r="L544" s="7" t="n">
        <v>3345.84</v>
      </c>
      <c r="M544" s="7" t="inlineStr">
        <is>
          <t>Paid</t>
        </is>
      </c>
      <c r="N544" s="7">
        <f>IF(OR(E544="Apex Office Supplies",E544="Apex Office Supply Ltd"),"Apex Office Supplies",IF(OR(E544="Northstar IT Services",E544="North Star IT Svc"),"Northstar IT Services",IF(OR(E544="Metro Logistics",E544="Metro Logistics Pvt Ltd"),"Metro Logistics",E544)))</f>
        <v/>
      </c>
      <c r="O544" s="7">
        <f>IF(AND(ISNUMBER(L544),L544&gt;0),"Valid","Review")</f>
        <v/>
      </c>
      <c r="P544" s="7">
        <f>IF(OR(E544="",F544="",NOT(ISNUMBER(L544))),"Check Missing/Invalid Data","OK")</f>
        <v/>
      </c>
    </row>
    <row r="545">
      <c r="A545" s="7" t="inlineStr">
        <is>
          <t>PO-00459</t>
        </is>
      </c>
      <c r="B545" s="9" t="n">
        <v>45995</v>
      </c>
      <c r="C545" s="7" t="inlineStr">
        <is>
          <t>Purchase Order</t>
        </is>
      </c>
      <c r="D545" s="7" t="inlineStr">
        <is>
          <t>SUP010</t>
        </is>
      </c>
      <c r="E545" s="7">
        <f>IF(E545="","Unknown Supplier",TRIM(E545))</f>
        <v/>
      </c>
      <c r="F545" s="7">
        <f>IF(F545="","Unclassified",TRIM(F545))</f>
        <v/>
      </c>
      <c r="G545" s="7" t="inlineStr">
        <is>
          <t>Natural gas</t>
        </is>
      </c>
      <c r="H545" s="7" t="inlineStr">
        <is>
          <t>Corporate</t>
        </is>
      </c>
      <c r="I545" s="7" t="inlineStr">
        <is>
          <t>West</t>
        </is>
      </c>
      <c r="J545" s="7" t="n">
        <v>64</v>
      </c>
      <c r="K545" s="7" t="n">
        <v>39.49</v>
      </c>
      <c r="L545" s="7" t="n">
        <v>2527.29</v>
      </c>
      <c r="M545" s="7" t="inlineStr">
        <is>
          <t>Overdue</t>
        </is>
      </c>
      <c r="N545" s="7">
        <f>IF(OR(E545="Apex Office Supplies",E545="Apex Office Supply Ltd"),"Apex Office Supplies",IF(OR(E545="Northstar IT Services",E545="North Star IT Svc"),"Northstar IT Services",IF(OR(E545="Metro Logistics",E545="Metro Logistics Pvt Ltd"),"Metro Logistics",E545)))</f>
        <v/>
      </c>
      <c r="O545" s="7">
        <f>IF(AND(ISNUMBER(L545),L545&gt;0),"Valid","Review")</f>
        <v/>
      </c>
      <c r="P545" s="7">
        <f>IF(OR(E545="",F545="",NOT(ISNUMBER(L545))),"Check Missing/Invalid Data","OK")</f>
        <v/>
      </c>
    </row>
    <row r="546">
      <c r="A546" s="7" t="inlineStr">
        <is>
          <t>PO-00515</t>
        </is>
      </c>
      <c r="B546" s="9" t="n">
        <v>45995</v>
      </c>
      <c r="C546" s="7" t="inlineStr">
        <is>
          <t>Goods Receipt</t>
        </is>
      </c>
      <c r="D546" s="7" t="inlineStr">
        <is>
          <t>SUP003</t>
        </is>
      </c>
      <c r="E546" s="7">
        <f>IF(E546="","Unknown Supplier",TRIM(E546))</f>
        <v/>
      </c>
      <c r="F546" s="7">
        <f>IF(F546="","Unclassified",TRIM(F546))</f>
        <v/>
      </c>
      <c r="G546" s="7" t="inlineStr">
        <is>
          <t>IT consulting</t>
        </is>
      </c>
      <c r="H546" s="7" t="inlineStr">
        <is>
          <t>Sales</t>
        </is>
      </c>
      <c r="I546" s="7" t="inlineStr">
        <is>
          <t>West</t>
        </is>
      </c>
      <c r="J546" s="7" t="n">
        <v>1</v>
      </c>
      <c r="K546" s="7" t="n">
        <v>16596.14</v>
      </c>
      <c r="L546" s="7" t="n">
        <v>16596.14</v>
      </c>
      <c r="M546" s="7" t="inlineStr">
        <is>
          <t>Pending</t>
        </is>
      </c>
      <c r="N546" s="7">
        <f>IF(OR(E546="Apex Office Supplies",E546="Apex Office Supply Ltd"),"Apex Office Supplies",IF(OR(E546="Northstar IT Services",E546="North Star IT Svc"),"Northstar IT Services",IF(OR(E546="Metro Logistics",E546="Metro Logistics Pvt Ltd"),"Metro Logistics",E546)))</f>
        <v/>
      </c>
      <c r="O546" s="7">
        <f>IF(AND(ISNUMBER(L546),L546&gt;0),"Valid","Review")</f>
        <v/>
      </c>
      <c r="P546" s="7">
        <f>IF(OR(E546="",F546="",NOT(ISNUMBER(L546))),"Check Missing/Invalid Data","OK")</f>
        <v/>
      </c>
    </row>
    <row r="547">
      <c r="A547" s="7" t="inlineStr">
        <is>
          <t>PO-00393</t>
        </is>
      </c>
      <c r="B547" s="9" t="n">
        <v>45996</v>
      </c>
      <c r="C547" s="7" t="inlineStr">
        <is>
          <t>Invoice</t>
        </is>
      </c>
      <c r="D547" s="7" t="inlineStr">
        <is>
          <t>SUP005</t>
        </is>
      </c>
      <c r="E547" s="7">
        <f>IF(E547="","Unknown Supplier",TRIM(E547))</f>
        <v/>
      </c>
      <c r="F547" s="7">
        <f>IF(F547="","Unclassified",TRIM(F547))</f>
        <v/>
      </c>
      <c r="G547" s="7" t="inlineStr">
        <is>
          <t>Courier services</t>
        </is>
      </c>
      <c r="H547" s="7" t="inlineStr">
        <is>
          <t>Technology</t>
        </is>
      </c>
      <c r="I547" s="7" t="inlineStr">
        <is>
          <t>South</t>
        </is>
      </c>
      <c r="J547" s="7" t="n">
        <v>24</v>
      </c>
      <c r="K547" s="7" t="n">
        <v>697.64</v>
      </c>
      <c r="L547" s="7" t="n">
        <v>16743.25</v>
      </c>
      <c r="M547" s="7" t="inlineStr">
        <is>
          <t>Pending</t>
        </is>
      </c>
      <c r="N547" s="7">
        <f>IF(OR(E547="Apex Office Supplies",E547="Apex Office Supply Ltd"),"Apex Office Supplies",IF(OR(E547="Northstar IT Services",E547="North Star IT Svc"),"Northstar IT Services",IF(OR(E547="Metro Logistics",E547="Metro Logistics Pvt Ltd"),"Metro Logistics",E547)))</f>
        <v/>
      </c>
      <c r="O547" s="7">
        <f>IF(AND(ISNUMBER(L547),L547&gt;0),"Valid","Review")</f>
        <v/>
      </c>
      <c r="P547" s="7">
        <f>IF(OR(E547="",F547="",NOT(ISNUMBER(L547))),"Check Missing/Invalid Data","OK")</f>
        <v/>
      </c>
    </row>
    <row r="548">
      <c r="A548" s="7" t="inlineStr">
        <is>
          <t>PO-00087</t>
        </is>
      </c>
      <c r="B548" s="9" t="n">
        <v>45996</v>
      </c>
      <c r="C548" s="7" t="inlineStr">
        <is>
          <t>Purchase Order</t>
        </is>
      </c>
      <c r="D548" s="7" t="inlineStr">
        <is>
          <t>SUP002</t>
        </is>
      </c>
      <c r="E548" s="7">
        <f>IF(E548="","Unknown Supplier",TRIM(E548))</f>
        <v/>
      </c>
      <c r="F548" s="7">
        <f>IF(F548="","Unclassified",TRIM(F548))</f>
        <v/>
      </c>
      <c r="G548" s="7" t="inlineStr">
        <is>
          <t>Printer paper</t>
        </is>
      </c>
      <c r="H548" s="7" t="inlineStr">
        <is>
          <t>Sales</t>
        </is>
      </c>
      <c r="I548" s="7" t="inlineStr">
        <is>
          <t>West</t>
        </is>
      </c>
      <c r="J548" s="7" t="n">
        <v>10</v>
      </c>
      <c r="K548" s="7" t="n">
        <v>322.78</v>
      </c>
      <c r="L548" s="7" t="n">
        <v>3227.79</v>
      </c>
      <c r="M548" s="7" t="inlineStr">
        <is>
          <t>Overdue</t>
        </is>
      </c>
      <c r="N548" s="7">
        <f>IF(OR(E548="Apex Office Supplies",E548="Apex Office Supply Ltd"),"Apex Office Supplies",IF(OR(E548="Northstar IT Services",E548="North Star IT Svc"),"Northstar IT Services",IF(OR(E548="Metro Logistics",E548="Metro Logistics Pvt Ltd"),"Metro Logistics",E548)))</f>
        <v/>
      </c>
      <c r="O548" s="7">
        <f>IF(AND(ISNUMBER(L548),L548&gt;0),"Valid","Review")</f>
        <v/>
      </c>
      <c r="P548" s="7">
        <f>IF(OR(E548="",F548="",NOT(ISNUMBER(L548))),"Check Missing/Invalid Data","OK")</f>
        <v/>
      </c>
    </row>
    <row r="549">
      <c r="A549" s="7" t="inlineStr">
        <is>
          <t>PO-00358</t>
        </is>
      </c>
      <c r="B549" s="9" t="n">
        <v>45997</v>
      </c>
      <c r="C549" s="7" t="inlineStr">
        <is>
          <t>Invoice</t>
        </is>
      </c>
      <c r="D549" s="7" t="inlineStr">
        <is>
          <t>SUP003</t>
        </is>
      </c>
      <c r="E549" s="7">
        <f>IF(E549="","Unknown Supplier",TRIM(E549))</f>
        <v/>
      </c>
      <c r="F549" s="7">
        <f>IF(F549="","Unclassified",TRIM(F549))</f>
        <v/>
      </c>
      <c r="G549" s="7" t="inlineStr">
        <is>
          <t>IT consulting</t>
        </is>
      </c>
      <c r="H549" s="7" t="inlineStr">
        <is>
          <t>Technology</t>
        </is>
      </c>
      <c r="I549" s="7" t="inlineStr">
        <is>
          <t>East</t>
        </is>
      </c>
      <c r="J549" s="7" t="n">
        <v>41</v>
      </c>
      <c r="K549" s="7" t="n">
        <v>198.47</v>
      </c>
      <c r="L549" s="7" t="n">
        <v>8137.08</v>
      </c>
      <c r="M549" s="7" t="inlineStr">
        <is>
          <t>Pending</t>
        </is>
      </c>
      <c r="N549" s="7">
        <f>IF(OR(E549="Apex Office Supplies",E549="Apex Office Supply Ltd"),"Apex Office Supplies",IF(OR(E549="Northstar IT Services",E549="North Star IT Svc"),"Northstar IT Services",IF(OR(E549="Metro Logistics",E549="Metro Logistics Pvt Ltd"),"Metro Logistics",E549)))</f>
        <v/>
      </c>
      <c r="O549" s="7">
        <f>IF(AND(ISNUMBER(L549),L549&gt;0),"Valid","Review")</f>
        <v/>
      </c>
      <c r="P549" s="7">
        <f>IF(OR(E549="",F549="",NOT(ISNUMBER(L549))),"Check Missing/Invalid Data","OK")</f>
        <v/>
      </c>
    </row>
    <row r="550">
      <c r="A550" s="7" t="inlineStr">
        <is>
          <t>PO-00106</t>
        </is>
      </c>
      <c r="B550" s="9" t="n">
        <v>45997</v>
      </c>
      <c r="C550" s="7" t="inlineStr">
        <is>
          <t>Purchase Order</t>
        </is>
      </c>
      <c r="D550" s="7" t="inlineStr">
        <is>
          <t>SUP011</t>
        </is>
      </c>
      <c r="E550" s="7">
        <f>IF(E550="","Unknown Supplier",TRIM(E550))</f>
        <v/>
      </c>
      <c r="F550" s="7">
        <f>IF(F550="","Unclassified",TRIM(F550))</f>
        <v/>
      </c>
      <c r="G550" s="7" t="inlineStr">
        <is>
          <t>Promotional materials</t>
        </is>
      </c>
      <c r="H550" s="7" t="inlineStr">
        <is>
          <t>Manufacturing</t>
        </is>
      </c>
      <c r="I550" s="7" t="inlineStr">
        <is>
          <t>East</t>
        </is>
      </c>
      <c r="J550" s="7" t="n">
        <v>5</v>
      </c>
      <c r="K550" s="7" t="n">
        <v>1795.3</v>
      </c>
      <c r="L550" s="7" t="n">
        <v>8976.48</v>
      </c>
      <c r="M550" s="7" t="inlineStr">
        <is>
          <t>Paid</t>
        </is>
      </c>
      <c r="N550" s="7">
        <f>IF(OR(E550="Apex Office Supplies",E550="Apex Office Supply Ltd"),"Apex Office Supplies",IF(OR(E550="Northstar IT Services",E550="North Star IT Svc"),"Northstar IT Services",IF(OR(E550="Metro Logistics",E550="Metro Logistics Pvt Ltd"),"Metro Logistics",E550)))</f>
        <v/>
      </c>
      <c r="O550" s="7">
        <f>IF(AND(ISNUMBER(L550),L550&gt;0),"Valid","Review")</f>
        <v/>
      </c>
      <c r="P550" s="7">
        <f>IF(OR(E550="",F550="",NOT(ISNUMBER(L550))),"Check Missing/Invalid Data","OK")</f>
        <v/>
      </c>
    </row>
    <row r="551">
      <c r="A551" s="7" t="inlineStr">
        <is>
          <t>PO-00096</t>
        </is>
      </c>
      <c r="B551" s="9" t="n">
        <v>45997</v>
      </c>
      <c r="C551" s="7" t="inlineStr">
        <is>
          <t>Purchase Order</t>
        </is>
      </c>
      <c r="D551" s="7" t="inlineStr">
        <is>
          <t>SUP007</t>
        </is>
      </c>
      <c r="E551" s="7">
        <f>IF(E551="","Unknown Supplier",TRIM(E551))</f>
        <v/>
      </c>
      <c r="F551" s="7">
        <f>IF(F551="","Unclassified",TRIM(F551))</f>
        <v/>
      </c>
      <c r="G551" s="7" t="inlineStr">
        <is>
          <t>Facility maintenance</t>
        </is>
      </c>
      <c r="H551" s="7" t="inlineStr">
        <is>
          <t>Technology</t>
        </is>
      </c>
      <c r="I551" s="7" t="inlineStr">
        <is>
          <t>East</t>
        </is>
      </c>
      <c r="J551" s="7" t="n">
        <v>59</v>
      </c>
      <c r="K551" s="7" t="n">
        <v>168.74</v>
      </c>
      <c r="L551" s="7" t="n">
        <v>9955.73</v>
      </c>
      <c r="M551" s="7" t="inlineStr">
        <is>
          <t>Paid</t>
        </is>
      </c>
      <c r="N551" s="7">
        <f>IF(OR(E551="Apex Office Supplies",E551="Apex Office Supply Ltd"),"Apex Office Supplies",IF(OR(E551="Northstar IT Services",E551="North Star IT Svc"),"Northstar IT Services",IF(OR(E551="Metro Logistics",E551="Metro Logistics Pvt Ltd"),"Metro Logistics",E551)))</f>
        <v/>
      </c>
      <c r="O551" s="7">
        <f>IF(AND(ISNUMBER(L551),L551&gt;0),"Valid","Review")</f>
        <v/>
      </c>
      <c r="P551" s="7">
        <f>IF(OR(E551="",F551="",NOT(ISNUMBER(L551))),"Check Missing/Invalid Data","OK")</f>
        <v/>
      </c>
    </row>
    <row r="552">
      <c r="A552" s="7" t="inlineStr">
        <is>
          <t>PO-00449</t>
        </is>
      </c>
      <c r="B552" s="9" t="n">
        <v>45997</v>
      </c>
      <c r="C552" s="7" t="inlineStr">
        <is>
          <t>Goods Receipt</t>
        </is>
      </c>
      <c r="D552" s="7" t="inlineStr">
        <is>
          <t>SUP011</t>
        </is>
      </c>
      <c r="E552" s="7">
        <f>IF(E552="","Unknown Supplier",TRIM(E552))</f>
        <v/>
      </c>
      <c r="F552" s="7">
        <f>IF(F552="","Unclassified",TRIM(F552))</f>
        <v/>
      </c>
      <c r="G552" s="7" t="inlineStr">
        <is>
          <t>Promotional materials</t>
        </is>
      </c>
      <c r="H552" s="7" t="inlineStr">
        <is>
          <t>Corporate</t>
        </is>
      </c>
      <c r="I552" s="7" t="inlineStr">
        <is>
          <t>North</t>
        </is>
      </c>
      <c r="J552" s="7" t="n">
        <v>106</v>
      </c>
      <c r="K552" s="7" t="n">
        <v>26.21</v>
      </c>
      <c r="L552" s="7" t="n">
        <v>2777.94</v>
      </c>
      <c r="M552" s="7" t="inlineStr">
        <is>
          <t>Overdue</t>
        </is>
      </c>
      <c r="N552" s="7">
        <f>IF(OR(E552="Apex Office Supplies",E552="Apex Office Supply Ltd"),"Apex Office Supplies",IF(OR(E552="Northstar IT Services",E552="North Star IT Svc"),"Northstar IT Services",IF(OR(E552="Metro Logistics",E552="Metro Logistics Pvt Ltd"),"Metro Logistics",E552)))</f>
        <v/>
      </c>
      <c r="O552" s="7">
        <f>IF(AND(ISNUMBER(L552),L552&gt;0),"Valid","Review")</f>
        <v/>
      </c>
      <c r="P552" s="7">
        <f>IF(OR(E552="",F552="",NOT(ISNUMBER(L552))),"Check Missing/Invalid Data","OK")</f>
        <v/>
      </c>
    </row>
    <row r="553">
      <c r="A553" s="7" t="inlineStr">
        <is>
          <t>PO-00052</t>
        </is>
      </c>
      <c r="B553" s="9" t="n">
        <v>45997</v>
      </c>
      <c r="C553" s="7" t="inlineStr">
        <is>
          <t>Purchase Order</t>
        </is>
      </c>
      <c r="D553" s="7" t="inlineStr">
        <is>
          <t>SUP011</t>
        </is>
      </c>
      <c r="E553" s="7">
        <f>IF(E553="","Unknown Supplier",TRIM(E553))</f>
        <v/>
      </c>
      <c r="F553" s="7">
        <f>IF(F553="","Unclassified",TRIM(F553))</f>
        <v/>
      </c>
      <c r="G553" s="7" t="inlineStr">
        <is>
          <t>Promotional materials</t>
        </is>
      </c>
      <c r="H553" s="7" t="inlineStr">
        <is>
          <t>Technology</t>
        </is>
      </c>
      <c r="I553" s="7" t="inlineStr">
        <is>
          <t>South</t>
        </is>
      </c>
      <c r="J553" s="7" t="n">
        <v>97</v>
      </c>
      <c r="K553" s="7" t="n">
        <v>18.45</v>
      </c>
      <c r="L553" s="7" t="n">
        <v>1789.76</v>
      </c>
      <c r="M553" s="7" t="inlineStr">
        <is>
          <t>Paid</t>
        </is>
      </c>
      <c r="N553" s="7">
        <f>IF(OR(E553="Apex Office Supplies",E553="Apex Office Supply Ltd"),"Apex Office Supplies",IF(OR(E553="Northstar IT Services",E553="North Star IT Svc"),"Northstar IT Services",IF(OR(E553="Metro Logistics",E553="Metro Logistics Pvt Ltd"),"Metro Logistics",E553)))</f>
        <v/>
      </c>
      <c r="O553" s="7">
        <f>IF(AND(ISNUMBER(L553),L553&gt;0),"Valid","Review")</f>
        <v/>
      </c>
      <c r="P553" s="7">
        <f>IF(OR(E553="",F553="",NOT(ISNUMBER(L553))),"Check Missing/Invalid Data","OK")</f>
        <v/>
      </c>
    </row>
    <row r="554">
      <c r="A554" s="7" t="inlineStr">
        <is>
          <t>PO-00243</t>
        </is>
      </c>
      <c r="B554" s="9" t="n">
        <v>45998</v>
      </c>
      <c r="C554" s="7" t="inlineStr">
        <is>
          <t>Purchase Order</t>
        </is>
      </c>
      <c r="D554" s="7" t="inlineStr">
        <is>
          <t>SUP004</t>
        </is>
      </c>
      <c r="E554" s="7">
        <f>IF(E554="","Unknown Supplier",TRIM(E554))</f>
        <v/>
      </c>
      <c r="F554" s="7">
        <f>IF(F554="","Unclassified",TRIM(F554))</f>
        <v/>
      </c>
      <c r="G554" s="7" t="inlineStr">
        <is>
          <t>IT consulting</t>
        </is>
      </c>
      <c r="H554" s="7" t="inlineStr">
        <is>
          <t>Sales</t>
        </is>
      </c>
      <c r="I554" s="7" t="inlineStr">
        <is>
          <t>East</t>
        </is>
      </c>
      <c r="J554" s="7" t="n">
        <v>77</v>
      </c>
      <c r="K554" s="7" t="n">
        <v>271.22</v>
      </c>
      <c r="L554" s="7" t="n">
        <v>20883.67</v>
      </c>
      <c r="M554" s="7" t="inlineStr">
        <is>
          <t>Paid</t>
        </is>
      </c>
      <c r="N554" s="7">
        <f>IF(OR(E554="Apex Office Supplies",E554="Apex Office Supply Ltd"),"Apex Office Supplies",IF(OR(E554="Northstar IT Services",E554="North Star IT Svc"),"Northstar IT Services",IF(OR(E554="Metro Logistics",E554="Metro Logistics Pvt Ltd"),"Metro Logistics",E554)))</f>
        <v/>
      </c>
      <c r="O554" s="7">
        <f>IF(AND(ISNUMBER(L554),L554&gt;0),"Valid","Review")</f>
        <v/>
      </c>
      <c r="P554" s="7">
        <f>IF(OR(E554="",F554="",NOT(ISNUMBER(L554))),"Check Missing/Invalid Data","OK")</f>
        <v/>
      </c>
    </row>
    <row r="555">
      <c r="A555" s="7" t="inlineStr">
        <is>
          <t>PO-00395</t>
        </is>
      </c>
      <c r="B555" s="9" t="n">
        <v>45999</v>
      </c>
      <c r="C555" s="7" t="inlineStr">
        <is>
          <t>Invoice</t>
        </is>
      </c>
      <c r="D555" s="7" t="inlineStr">
        <is>
          <t>SUP002</t>
        </is>
      </c>
      <c r="E555" s="7">
        <f>IF(E555="","Unknown Supplier",TRIM(E555))</f>
        <v/>
      </c>
      <c r="F555" s="7">
        <f>IF(F555="","Unclassified",TRIM(F555))</f>
        <v/>
      </c>
      <c r="G555" s="7" t="inlineStr">
        <is>
          <t>Toner cartridges</t>
        </is>
      </c>
      <c r="H555" s="7" t="inlineStr">
        <is>
          <t>Operations</t>
        </is>
      </c>
      <c r="I555" s="7" t="inlineStr">
        <is>
          <t>North</t>
        </is>
      </c>
      <c r="J555" s="7" t="n">
        <v>70</v>
      </c>
      <c r="K555" s="7" t="n">
        <v>89.53</v>
      </c>
      <c r="L555" s="7" t="n">
        <v>6266.99</v>
      </c>
      <c r="M555" s="7" t="inlineStr">
        <is>
          <t>Pending</t>
        </is>
      </c>
      <c r="N555" s="7">
        <f>IF(OR(E555="Apex Office Supplies",E555="Apex Office Supply Ltd"),"Apex Office Supplies",IF(OR(E555="Northstar IT Services",E555="North Star IT Svc"),"Northstar IT Services",IF(OR(E555="Metro Logistics",E555="Metro Logistics Pvt Ltd"),"Metro Logistics",E555)))</f>
        <v/>
      </c>
      <c r="O555" s="7">
        <f>IF(AND(ISNUMBER(L555),L555&gt;0),"Valid","Review")</f>
        <v/>
      </c>
      <c r="P555" s="7">
        <f>IF(OR(E555="",F555="",NOT(ISNUMBER(L555))),"Check Missing/Invalid Data","OK")</f>
        <v/>
      </c>
    </row>
    <row r="556">
      <c r="A556" s="7" t="inlineStr">
        <is>
          <t>PO-00269</t>
        </is>
      </c>
      <c r="B556" s="9" t="n">
        <v>46000</v>
      </c>
      <c r="C556" s="7" t="inlineStr">
        <is>
          <t>Goods Receipt</t>
        </is>
      </c>
      <c r="D556" s="7" t="inlineStr">
        <is>
          <t>SUP001</t>
        </is>
      </c>
      <c r="E556" s="7">
        <f>IF(E556="","Unknown Supplier",TRIM(E556))</f>
        <v/>
      </c>
      <c r="F556" s="7">
        <f>IF(F556="","Unclassified",TRIM(F556))</f>
        <v/>
      </c>
      <c r="G556" s="7" t="inlineStr">
        <is>
          <t>Printer paper</t>
        </is>
      </c>
      <c r="H556" s="7" t="inlineStr">
        <is>
          <t>Corporate</t>
        </is>
      </c>
      <c r="I556" s="7" t="inlineStr">
        <is>
          <t>South</t>
        </is>
      </c>
      <c r="J556" s="7" t="n">
        <v>108</v>
      </c>
      <c r="K556" s="7" t="n">
        <v>69.38</v>
      </c>
      <c r="L556" s="7" t="n">
        <v>7493.57</v>
      </c>
      <c r="M556" s="7" t="inlineStr">
        <is>
          <t>Paid</t>
        </is>
      </c>
      <c r="N556" s="7">
        <f>IF(OR(E556="Apex Office Supplies",E556="Apex Office Supply Ltd"),"Apex Office Supplies",IF(OR(E556="Northstar IT Services",E556="North Star IT Svc"),"Northstar IT Services",IF(OR(E556="Metro Logistics",E556="Metro Logistics Pvt Ltd"),"Metro Logistics",E556)))</f>
        <v/>
      </c>
      <c r="O556" s="7">
        <f>IF(AND(ISNUMBER(L556),L556&gt;0),"Valid","Review")</f>
        <v/>
      </c>
      <c r="P556" s="7">
        <f>IF(OR(E556="",F556="",NOT(ISNUMBER(L556))),"Check Missing/Invalid Data","OK")</f>
        <v/>
      </c>
    </row>
    <row r="557">
      <c r="A557" s="7" t="inlineStr">
        <is>
          <t>PO-00168</t>
        </is>
      </c>
      <c r="B557" s="9" t="n">
        <v>46001</v>
      </c>
      <c r="C557" s="7" t="inlineStr">
        <is>
          <t>Purchase Order</t>
        </is>
      </c>
      <c r="D557" s="7" t="inlineStr">
        <is>
          <t>SUP007</t>
        </is>
      </c>
      <c r="E557" s="7">
        <f>IF(E557="","Unknown Supplier",TRIM(E557))</f>
        <v/>
      </c>
      <c r="F557" s="7">
        <f>IF(F557="","Unclassified",TRIM(F557))</f>
        <v/>
      </c>
      <c r="G557" s="7" t="inlineStr">
        <is>
          <t>Cleaning services</t>
        </is>
      </c>
      <c r="H557" s="7" t="inlineStr">
        <is>
          <t>Technology</t>
        </is>
      </c>
      <c r="I557" s="7" t="inlineStr">
        <is>
          <t>West</t>
        </is>
      </c>
      <c r="J557" s="7" t="n">
        <v>40</v>
      </c>
      <c r="K557" s="7" t="n">
        <v>11.15</v>
      </c>
      <c r="L557" s="7" t="n">
        <v>445.96</v>
      </c>
      <c r="M557" s="7" t="inlineStr">
        <is>
          <t>Paid</t>
        </is>
      </c>
      <c r="N557" s="7">
        <f>IF(OR(E557="Apex Office Supplies",E557="Apex Office Supply Ltd"),"Apex Office Supplies",IF(OR(E557="Northstar IT Services",E557="North Star IT Svc"),"Northstar IT Services",IF(OR(E557="Metro Logistics",E557="Metro Logistics Pvt Ltd"),"Metro Logistics",E557)))</f>
        <v/>
      </c>
      <c r="O557" s="7">
        <f>IF(AND(ISNUMBER(L557),L557&gt;0),"Valid","Review")</f>
        <v/>
      </c>
      <c r="P557" s="7">
        <f>IF(OR(E557="",F557="",NOT(ISNUMBER(L557))),"Check Missing/Invalid Data","OK")</f>
        <v/>
      </c>
    </row>
    <row r="558">
      <c r="A558" s="7" t="inlineStr">
        <is>
          <t>PO-00127</t>
        </is>
      </c>
      <c r="B558" s="9" t="n">
        <v>46001</v>
      </c>
      <c r="C558" s="7" t="inlineStr">
        <is>
          <t>Goods Receipt</t>
        </is>
      </c>
      <c r="D558" s="7" t="inlineStr">
        <is>
          <t>SUP012</t>
        </is>
      </c>
      <c r="E558" s="7">
        <f>IF(E558="","Unknown Supplier",TRIM(E558))</f>
        <v/>
      </c>
      <c r="F558" s="7">
        <f>IF(F558="","Unclassified",TRIM(F558))</f>
        <v/>
      </c>
      <c r="G558" s="7" t="inlineStr">
        <is>
          <t>Tools and supplies</t>
        </is>
      </c>
      <c r="H558" s="7" t="inlineStr">
        <is>
          <t>Operations</t>
        </is>
      </c>
      <c r="I558" s="7" t="inlineStr">
        <is>
          <t>West</t>
        </is>
      </c>
      <c r="J558" s="7" t="n">
        <v>76</v>
      </c>
      <c r="K558" s="7" t="n">
        <v>128.67</v>
      </c>
      <c r="L558" s="7" t="n">
        <v>9778.639999999999</v>
      </c>
      <c r="M558" s="7" t="inlineStr">
        <is>
          <t>Overdue</t>
        </is>
      </c>
      <c r="N558" s="7">
        <f>IF(OR(E558="Apex Office Supplies",E558="Apex Office Supply Ltd"),"Apex Office Supplies",IF(OR(E558="Northstar IT Services",E558="North Star IT Svc"),"Northstar IT Services",IF(OR(E558="Metro Logistics",E558="Metro Logistics Pvt Ltd"),"Metro Logistics",E558)))</f>
        <v/>
      </c>
      <c r="O558" s="7">
        <f>IF(AND(ISNUMBER(L558),L558&gt;0),"Valid","Review")</f>
        <v/>
      </c>
      <c r="P558" s="7">
        <f>IF(OR(E558="",F558="",NOT(ISNUMBER(L558))),"Check Missing/Invalid Data","OK")</f>
        <v/>
      </c>
    </row>
    <row r="559">
      <c r="A559" s="7" t="inlineStr">
        <is>
          <t>PO-00020</t>
        </is>
      </c>
      <c r="B559" s="9" t="n">
        <v>46001</v>
      </c>
      <c r="C559" s="7" t="inlineStr">
        <is>
          <t>Purchase Order</t>
        </is>
      </c>
      <c r="D559" s="7" t="inlineStr">
        <is>
          <t>SUP011</t>
        </is>
      </c>
      <c r="E559" s="7">
        <f>IF(E559="","Unknown Supplier",TRIM(E559))</f>
        <v/>
      </c>
      <c r="F559" s="7">
        <f>IF(F559="","Unclassified",TRIM(F559))</f>
        <v/>
      </c>
      <c r="G559" s="7" t="inlineStr">
        <is>
          <t>Digital campaign</t>
        </is>
      </c>
      <c r="H559" s="7" t="inlineStr">
        <is>
          <t>Operations</t>
        </is>
      </c>
      <c r="I559" s="7" t="inlineStr">
        <is>
          <t>North</t>
        </is>
      </c>
      <c r="J559" s="7" t="n">
        <v>58</v>
      </c>
      <c r="K559" s="7" t="n">
        <v>279.4</v>
      </c>
      <c r="L559" s="7" t="n">
        <v>16205.1</v>
      </c>
      <c r="M559" s="7" t="inlineStr">
        <is>
          <t>Pending</t>
        </is>
      </c>
      <c r="N559" s="7">
        <f>IF(OR(E559="Apex Office Supplies",E559="Apex Office Supply Ltd"),"Apex Office Supplies",IF(OR(E559="Northstar IT Services",E559="North Star IT Svc"),"Northstar IT Services",IF(OR(E559="Metro Logistics",E559="Metro Logistics Pvt Ltd"),"Metro Logistics",E559)))</f>
        <v/>
      </c>
      <c r="O559" s="7">
        <f>IF(AND(ISNUMBER(L559),L559&gt;0),"Valid","Review")</f>
        <v/>
      </c>
      <c r="P559" s="7">
        <f>IF(OR(E559="",F559="",NOT(ISNUMBER(L559))),"Check Missing/Invalid Data","OK")</f>
        <v/>
      </c>
    </row>
    <row r="560">
      <c r="A560" s="7" t="inlineStr">
        <is>
          <t>PO-00454</t>
        </is>
      </c>
      <c r="B560" s="9" t="n">
        <v>46001</v>
      </c>
      <c r="C560" s="7" t="inlineStr">
        <is>
          <t>Purchase Order</t>
        </is>
      </c>
      <c r="D560" s="7" t="inlineStr">
        <is>
          <t>SUP008</t>
        </is>
      </c>
      <c r="E560" s="7">
        <f>IF(E560="","Unknown Supplier",TRIM(E560))</f>
        <v/>
      </c>
      <c r="F560" s="7">
        <f>IF(F560="","Unclassified",TRIM(F560))</f>
        <v/>
      </c>
      <c r="G560" s="7" t="inlineStr">
        <is>
          <t>Protective packaging</t>
        </is>
      </c>
      <c r="H560" s="7" t="inlineStr">
        <is>
          <t>Technology</t>
        </is>
      </c>
      <c r="I560" s="7" t="inlineStr">
        <is>
          <t>West</t>
        </is>
      </c>
      <c r="J560" s="7" t="n">
        <v>7</v>
      </c>
      <c r="K560" s="7" t="n">
        <v>945.22</v>
      </c>
      <c r="L560" s="7" t="n">
        <v>6616.56</v>
      </c>
      <c r="M560" s="7" t="inlineStr">
        <is>
          <t>Overdue</t>
        </is>
      </c>
      <c r="N560" s="7">
        <f>IF(OR(E560="Apex Office Supplies",E560="Apex Office Supply Ltd"),"Apex Office Supplies",IF(OR(E560="Northstar IT Services",E560="North Star IT Svc"),"Northstar IT Services",IF(OR(E560="Metro Logistics",E560="Metro Logistics Pvt Ltd"),"Metro Logistics",E560)))</f>
        <v/>
      </c>
      <c r="O560" s="7">
        <f>IF(AND(ISNUMBER(L560),L560&gt;0),"Valid","Review")</f>
        <v/>
      </c>
      <c r="P560" s="7">
        <f>IF(OR(E560="",F560="",NOT(ISNUMBER(L560))),"Check Missing/Invalid Data","OK")</f>
        <v/>
      </c>
    </row>
    <row r="561">
      <c r="A561" s="7" t="inlineStr">
        <is>
          <t>PO-00491</t>
        </is>
      </c>
      <c r="B561" s="9" t="n">
        <v>46001</v>
      </c>
      <c r="C561" s="7" t="inlineStr">
        <is>
          <t>Invoice</t>
        </is>
      </c>
      <c r="D561" s="7" t="inlineStr">
        <is>
          <t>SUP002</t>
        </is>
      </c>
      <c r="E561" s="7">
        <f>IF(E561="","Unknown Supplier",TRIM(E561))</f>
        <v/>
      </c>
      <c r="F561" s="7">
        <f>IF(F561="","Unclassified",TRIM(F561))</f>
        <v/>
      </c>
      <c r="G561" s="7" t="inlineStr">
        <is>
          <t>Pens and stationery</t>
        </is>
      </c>
      <c r="H561" s="7" t="inlineStr">
        <is>
          <t>Technology</t>
        </is>
      </c>
      <c r="I561" s="7" t="inlineStr">
        <is>
          <t>South</t>
        </is>
      </c>
      <c r="J561" s="7" t="n">
        <v>75</v>
      </c>
      <c r="K561" s="7" t="n">
        <v>48.66</v>
      </c>
      <c r="L561" s="7" t="n">
        <v>3649.83</v>
      </c>
      <c r="M561" s="7" t="inlineStr">
        <is>
          <t>Overdue</t>
        </is>
      </c>
      <c r="N561" s="7">
        <f>IF(OR(E561="Apex Office Supplies",E561="Apex Office Supply Ltd"),"Apex Office Supplies",IF(OR(E561="Northstar IT Services",E561="North Star IT Svc"),"Northstar IT Services",IF(OR(E561="Metro Logistics",E561="Metro Logistics Pvt Ltd"),"Metro Logistics",E561)))</f>
        <v/>
      </c>
      <c r="O561" s="7">
        <f>IF(AND(ISNUMBER(L561),L561&gt;0),"Valid","Review")</f>
        <v/>
      </c>
      <c r="P561" s="7">
        <f>IF(OR(E561="",F561="",NOT(ISNUMBER(L561))),"Check Missing/Invalid Data","OK")</f>
        <v/>
      </c>
    </row>
    <row r="562">
      <c r="A562" s="7" t="inlineStr">
        <is>
          <t>PO-00351</t>
        </is>
      </c>
      <c r="B562" s="9" t="n">
        <v>46002</v>
      </c>
      <c r="C562" s="7" t="inlineStr">
        <is>
          <t>Invoice</t>
        </is>
      </c>
      <c r="D562" s="7" t="inlineStr">
        <is>
          <t>SUP001</t>
        </is>
      </c>
      <c r="E562" s="7">
        <f>IF(E562="","Unknown Supplier",TRIM(E562))</f>
        <v/>
      </c>
      <c r="F562" s="7">
        <f>IF(F562="","Unclassified",TRIM(F562))</f>
        <v/>
      </c>
      <c r="G562" s="7" t="inlineStr">
        <is>
          <t>Printer paper</t>
        </is>
      </c>
      <c r="H562" s="7" t="inlineStr">
        <is>
          <t>Sales</t>
        </is>
      </c>
      <c r="I562" s="7" t="inlineStr">
        <is>
          <t>East</t>
        </is>
      </c>
      <c r="J562" s="7" t="n">
        <v>6</v>
      </c>
      <c r="K562" s="7" t="n">
        <v>2416.93</v>
      </c>
      <c r="L562" s="7" t="n">
        <v>14501.56</v>
      </c>
      <c r="M562" s="7" t="inlineStr">
        <is>
          <t>Pending</t>
        </is>
      </c>
      <c r="N562" s="7">
        <f>IF(OR(E562="Apex Office Supplies",E562="Apex Office Supply Ltd"),"Apex Office Supplies",IF(OR(E562="Northstar IT Services",E562="North Star IT Svc"),"Northstar IT Services",IF(OR(E562="Metro Logistics",E562="Metro Logistics Pvt Ltd"),"Metro Logistics",E562)))</f>
        <v/>
      </c>
      <c r="O562" s="7">
        <f>IF(AND(ISNUMBER(L562),L562&gt;0),"Valid","Review")</f>
        <v/>
      </c>
      <c r="P562" s="7">
        <f>IF(OR(E562="",F562="",NOT(ISNUMBER(L562))),"Check Missing/Invalid Data","OK")</f>
        <v/>
      </c>
    </row>
    <row r="563">
      <c r="A563" s="7" t="inlineStr">
        <is>
          <t>PO-00322</t>
        </is>
      </c>
      <c r="B563" s="9" t="n">
        <v>46004</v>
      </c>
      <c r="C563" s="7" t="inlineStr">
        <is>
          <t>Goods Receipt</t>
        </is>
      </c>
      <c r="D563" s="7" t="inlineStr">
        <is>
          <t>SUP007</t>
        </is>
      </c>
      <c r="E563" s="7">
        <f>IF(E563="","Unknown Supplier",TRIM(E563))</f>
        <v/>
      </c>
      <c r="F563" s="7">
        <f>IF(F563="","Unclassified",TRIM(F563))</f>
        <v/>
      </c>
      <c r="G563" s="7" t="inlineStr">
        <is>
          <t>Facility maintenance</t>
        </is>
      </c>
      <c r="H563" s="7" t="inlineStr">
        <is>
          <t>Sales</t>
        </is>
      </c>
      <c r="I563" s="7" t="inlineStr">
        <is>
          <t>West</t>
        </is>
      </c>
      <c r="J563" s="7" t="n">
        <v>35</v>
      </c>
      <c r="K563" s="7" t="n">
        <v>298.41</v>
      </c>
      <c r="L563" s="7" t="n">
        <v>10444.37</v>
      </c>
      <c r="M563" s="7" t="inlineStr">
        <is>
          <t>Paid</t>
        </is>
      </c>
      <c r="N563" s="7">
        <f>IF(OR(E563="Apex Office Supplies",E563="Apex Office Supply Ltd"),"Apex Office Supplies",IF(OR(E563="Northstar IT Services",E563="North Star IT Svc"),"Northstar IT Services",IF(OR(E563="Metro Logistics",E563="Metro Logistics Pvt Ltd"),"Metro Logistics",E563)))</f>
        <v/>
      </c>
      <c r="O563" s="7">
        <f>IF(AND(ISNUMBER(L563),L563&gt;0),"Valid","Review")</f>
        <v/>
      </c>
      <c r="P563" s="7">
        <f>IF(OR(E563="",F563="",NOT(ISNUMBER(L563))),"Check Missing/Invalid Data","OK")</f>
        <v/>
      </c>
    </row>
    <row r="564">
      <c r="A564" s="7" t="inlineStr">
        <is>
          <t>PO-00192</t>
        </is>
      </c>
      <c r="B564" s="9" t="n">
        <v>46005</v>
      </c>
      <c r="C564" s="7" t="inlineStr">
        <is>
          <t>Goods Receipt</t>
        </is>
      </c>
      <c r="D564" s="7" t="inlineStr">
        <is>
          <t>SUP003</t>
        </is>
      </c>
      <c r="E564" s="7">
        <f>IF(E564="","Unknown Supplier",TRIM(E564))</f>
        <v/>
      </c>
      <c r="F564" s="7">
        <f>IF(F564="","Unclassified",TRIM(F564))</f>
        <v/>
      </c>
      <c r="G564" s="7" t="inlineStr">
        <is>
          <t>Cloud services</t>
        </is>
      </c>
      <c r="H564" s="7" t="inlineStr">
        <is>
          <t>Corporate</t>
        </is>
      </c>
      <c r="I564" s="7" t="inlineStr">
        <is>
          <t>South</t>
        </is>
      </c>
      <c r="J564" s="7" t="n">
        <v>78</v>
      </c>
      <c r="K564" s="7" t="n">
        <v>58.26</v>
      </c>
      <c r="L564" s="7" t="n">
        <v>4543.92</v>
      </c>
      <c r="M564" s="7" t="inlineStr">
        <is>
          <t>Paid</t>
        </is>
      </c>
      <c r="N564" s="7">
        <f>IF(OR(E564="Apex Office Supplies",E564="Apex Office Supply Ltd"),"Apex Office Supplies",IF(OR(E564="Northstar IT Services",E564="North Star IT Svc"),"Northstar IT Services",IF(OR(E564="Metro Logistics",E564="Metro Logistics Pvt Ltd"),"Metro Logistics",E564)))</f>
        <v/>
      </c>
      <c r="O564" s="7">
        <f>IF(AND(ISNUMBER(L564),L564&gt;0),"Valid","Review")</f>
        <v/>
      </c>
      <c r="P564" s="7">
        <f>IF(OR(E564="",F564="",NOT(ISNUMBER(L564))),"Check Missing/Invalid Data","OK")</f>
        <v/>
      </c>
    </row>
    <row r="565">
      <c r="A565" s="7" t="inlineStr">
        <is>
          <t>PO-00150</t>
        </is>
      </c>
      <c r="B565" s="9" t="n">
        <v>46005</v>
      </c>
      <c r="C565" s="7" t="inlineStr">
        <is>
          <t>Purchase Order</t>
        </is>
      </c>
      <c r="D565" s="7" t="inlineStr">
        <is>
          <t>SUP010</t>
        </is>
      </c>
      <c r="E565" s="7">
        <f>IF(E565="","Unknown Supplier",TRIM(E565))</f>
        <v/>
      </c>
      <c r="F565" s="7">
        <f>IF(F565="","Unclassified",TRIM(F565))</f>
        <v/>
      </c>
      <c r="G565" s="7" t="inlineStr">
        <is>
          <t>Water services</t>
        </is>
      </c>
      <c r="H565" s="7" t="inlineStr">
        <is>
          <t>Manufacturing</t>
        </is>
      </c>
      <c r="I565" s="7" t="inlineStr">
        <is>
          <t>North</t>
        </is>
      </c>
      <c r="J565" s="7" t="n">
        <v>6</v>
      </c>
      <c r="K565" s="7" t="n">
        <v>2008.06</v>
      </c>
      <c r="L565" s="7" t="n">
        <v>12048.33</v>
      </c>
      <c r="M565" s="7" t="inlineStr">
        <is>
          <t>Paid</t>
        </is>
      </c>
      <c r="N565" s="7">
        <f>IF(OR(E565="Apex Office Supplies",E565="Apex Office Supply Ltd"),"Apex Office Supplies",IF(OR(E565="Northstar IT Services",E565="North Star IT Svc"),"Northstar IT Services",IF(OR(E565="Metro Logistics",E565="Metro Logistics Pvt Ltd"),"Metro Logistics",E565)))</f>
        <v/>
      </c>
      <c r="O565" s="7">
        <f>IF(AND(ISNUMBER(L565),L565&gt;0),"Valid","Review")</f>
        <v/>
      </c>
      <c r="P565" s="7">
        <f>IF(OR(E565="",F565="",NOT(ISNUMBER(L565))),"Check Missing/Invalid Data","OK")</f>
        <v/>
      </c>
    </row>
    <row r="566">
      <c r="A566" s="7" t="inlineStr">
        <is>
          <t>PO-00495</t>
        </is>
      </c>
      <c r="B566" s="9" t="n">
        <v>46005</v>
      </c>
      <c r="C566" s="7" t="inlineStr">
        <is>
          <t>Invoice</t>
        </is>
      </c>
      <c r="D566" s="7" t="inlineStr">
        <is>
          <t>SUP012</t>
        </is>
      </c>
      <c r="E566" s="7">
        <f>IF(E566="","Unknown Supplier",TRIM(E566))</f>
        <v/>
      </c>
      <c r="F566" s="7">
        <f>IF(F566="","Unclassified",TRIM(F566))</f>
        <v/>
      </c>
      <c r="G566" s="7" t="inlineStr">
        <is>
          <t>Equipment servicing</t>
        </is>
      </c>
      <c r="H566" s="7" t="inlineStr">
        <is>
          <t>Sales</t>
        </is>
      </c>
      <c r="I566" s="7" t="inlineStr">
        <is>
          <t>North</t>
        </is>
      </c>
      <c r="J566" s="7" t="n">
        <v>58</v>
      </c>
      <c r="K566" s="7" t="n">
        <v>150.03</v>
      </c>
      <c r="L566" s="7" t="n">
        <v>8701.58</v>
      </c>
      <c r="M566" s="7" t="inlineStr">
        <is>
          <t>Paid</t>
        </is>
      </c>
      <c r="N566" s="7">
        <f>IF(OR(E566="Apex Office Supplies",E566="Apex Office Supply Ltd"),"Apex Office Supplies",IF(OR(E566="Northstar IT Services",E566="North Star IT Svc"),"Northstar IT Services",IF(OR(E566="Metro Logistics",E566="Metro Logistics Pvt Ltd"),"Metro Logistics",E566)))</f>
        <v/>
      </c>
      <c r="O566" s="7">
        <f>IF(AND(ISNUMBER(L566),L566&gt;0),"Valid","Review")</f>
        <v/>
      </c>
      <c r="P566" s="7">
        <f>IF(OR(E566="",F566="",NOT(ISNUMBER(L566))),"Check Missing/Invalid Data","OK")</f>
        <v/>
      </c>
    </row>
    <row r="567">
      <c r="A567" s="7" t="inlineStr">
        <is>
          <t>PO-00226</t>
        </is>
      </c>
      <c r="B567" s="9" t="n">
        <v>46006</v>
      </c>
      <c r="C567" s="7" t="inlineStr">
        <is>
          <t>Purchase Order</t>
        </is>
      </c>
      <c r="D567" s="7" t="inlineStr">
        <is>
          <t>SUP011</t>
        </is>
      </c>
      <c r="E567" s="7">
        <f>IF(E567="","Unknown Supplier",TRIM(E567))</f>
        <v/>
      </c>
      <c r="F567" s="7">
        <f>IF(F567="","Unclassified",TRIM(F567))</f>
        <v/>
      </c>
      <c r="G567" s="7" t="inlineStr">
        <is>
          <t>Digital campaign</t>
        </is>
      </c>
      <c r="H567" s="7" t="inlineStr">
        <is>
          <t>Technology</t>
        </is>
      </c>
      <c r="I567" s="7" t="inlineStr">
        <is>
          <t>East</t>
        </is>
      </c>
      <c r="J567" s="7" t="n">
        <v>62</v>
      </c>
      <c r="K567" s="7" t="n">
        <v>78.17</v>
      </c>
      <c r="L567" s="7" t="n">
        <v>4846.8</v>
      </c>
      <c r="M567" s="7" t="inlineStr">
        <is>
          <t>Paid</t>
        </is>
      </c>
      <c r="N567" s="7">
        <f>IF(OR(E567="Apex Office Supplies",E567="Apex Office Supply Ltd"),"Apex Office Supplies",IF(OR(E567="Northstar IT Services",E567="North Star IT Svc"),"Northstar IT Services",IF(OR(E567="Metro Logistics",E567="Metro Logistics Pvt Ltd"),"Metro Logistics",E567)))</f>
        <v/>
      </c>
      <c r="O567" s="7">
        <f>IF(AND(ISNUMBER(L567),L567&gt;0),"Valid","Review")</f>
        <v/>
      </c>
      <c r="P567" s="7">
        <f>IF(OR(E567="",F567="",NOT(ISNUMBER(L567))),"Check Missing/Invalid Data","OK")</f>
        <v/>
      </c>
    </row>
    <row r="568">
      <c r="A568" s="7" t="inlineStr">
        <is>
          <t>PO-00399</t>
        </is>
      </c>
      <c r="B568" s="9" t="n">
        <v>46007</v>
      </c>
      <c r="C568" s="7" t="inlineStr">
        <is>
          <t>Goods Receipt</t>
        </is>
      </c>
      <c r="D568" s="7" t="inlineStr">
        <is>
          <t>SUP007</t>
        </is>
      </c>
      <c r="E568" s="7">
        <f>IF(E568="","Unknown Supplier",TRIM(E568))</f>
        <v/>
      </c>
      <c r="F568" s="7">
        <f>IF(F568="","Unclassified",TRIM(F568))</f>
        <v/>
      </c>
      <c r="G568" s="7" t="inlineStr">
        <is>
          <t>Facility maintenance</t>
        </is>
      </c>
      <c r="H568" s="7" t="inlineStr">
        <is>
          <t>Technology</t>
        </is>
      </c>
      <c r="I568" s="7" t="inlineStr">
        <is>
          <t>North</t>
        </is>
      </c>
      <c r="J568" s="7" t="n">
        <v>19</v>
      </c>
      <c r="K568" s="7" t="n">
        <v>780.39</v>
      </c>
      <c r="L568" s="7" t="n">
        <v>14827.44</v>
      </c>
      <c r="M568" s="7" t="inlineStr">
        <is>
          <t>Paid</t>
        </is>
      </c>
      <c r="N568" s="7">
        <f>IF(OR(E568="Apex Office Supplies",E568="Apex Office Supply Ltd"),"Apex Office Supplies",IF(OR(E568="Northstar IT Services",E568="North Star IT Svc"),"Northstar IT Services",IF(OR(E568="Metro Logistics",E568="Metro Logistics Pvt Ltd"),"Metro Logistics",E568)))</f>
        <v/>
      </c>
      <c r="O568" s="7">
        <f>IF(AND(ISNUMBER(L568),L568&gt;0),"Valid","Review")</f>
        <v/>
      </c>
      <c r="P568" s="7">
        <f>IF(OR(E568="",F568="",NOT(ISNUMBER(L568))),"Check Missing/Invalid Data","OK")</f>
        <v/>
      </c>
    </row>
    <row r="569">
      <c r="A569" s="7" t="inlineStr">
        <is>
          <t>PO-00110</t>
        </is>
      </c>
      <c r="B569" s="9" t="n">
        <v>46008</v>
      </c>
      <c r="C569" s="7" t="inlineStr">
        <is>
          <t>Purchase Order</t>
        </is>
      </c>
      <c r="D569" s="7" t="inlineStr">
        <is>
          <t>SUP005</t>
        </is>
      </c>
      <c r="E569" s="7">
        <f>IF(E569="","Unknown Supplier",TRIM(E569))</f>
        <v/>
      </c>
      <c r="F569" s="7">
        <f>IF(F569="","Unclassified",TRIM(F569))</f>
        <v/>
      </c>
      <c r="G569" s="7" t="inlineStr">
        <is>
          <t>Warehouse handling</t>
        </is>
      </c>
      <c r="H569" s="7" t="inlineStr">
        <is>
          <t>Corporate</t>
        </is>
      </c>
      <c r="I569" s="7" t="inlineStr">
        <is>
          <t>West</t>
        </is>
      </c>
      <c r="J569" s="7" t="n">
        <v>56</v>
      </c>
      <c r="K569" s="7" t="n">
        <v>408.98</v>
      </c>
      <c r="L569" s="7" t="n">
        <v>22902.71</v>
      </c>
      <c r="M569" s="7" t="inlineStr">
        <is>
          <t>Paid</t>
        </is>
      </c>
      <c r="N569" s="7">
        <f>IF(OR(E569="Apex Office Supplies",E569="Apex Office Supply Ltd"),"Apex Office Supplies",IF(OR(E569="Northstar IT Services",E569="North Star IT Svc"),"Northstar IT Services",IF(OR(E569="Metro Logistics",E569="Metro Logistics Pvt Ltd"),"Metro Logistics",E569)))</f>
        <v/>
      </c>
      <c r="O569" s="7">
        <f>IF(AND(ISNUMBER(L569),L569&gt;0),"Valid","Review")</f>
        <v/>
      </c>
      <c r="P569" s="7">
        <f>IF(OR(E569="",F569="",NOT(ISNUMBER(L569))),"Check Missing/Invalid Data","OK")</f>
        <v/>
      </c>
    </row>
    <row r="570">
      <c r="A570" s="7" t="inlineStr">
        <is>
          <t>PO-00365</t>
        </is>
      </c>
      <c r="B570" s="9" t="n">
        <v>46009</v>
      </c>
      <c r="C570" s="7" t="inlineStr">
        <is>
          <t>Invoice</t>
        </is>
      </c>
      <c r="D570" s="7" t="inlineStr">
        <is>
          <t>SUP011</t>
        </is>
      </c>
      <c r="E570" s="7">
        <f>IF(E570="","Unknown Supplier",TRIM(E570))</f>
        <v/>
      </c>
      <c r="F570" s="7">
        <f>IF(F570="","Unclassified",TRIM(F570))</f>
        <v/>
      </c>
      <c r="G570" s="7" t="inlineStr">
        <is>
          <t>Digital campaign</t>
        </is>
      </c>
      <c r="H570" s="7" t="inlineStr">
        <is>
          <t>Corporate</t>
        </is>
      </c>
      <c r="I570" s="7" t="inlineStr">
        <is>
          <t>North</t>
        </is>
      </c>
      <c r="J570" s="7" t="n">
        <v>76</v>
      </c>
      <c r="K570" s="7" t="n">
        <v>21.35</v>
      </c>
      <c r="L570" s="7" t="n">
        <v>1622.62</v>
      </c>
      <c r="M570" s="7" t="inlineStr">
        <is>
          <t>Paid</t>
        </is>
      </c>
      <c r="N570" s="7">
        <f>IF(OR(E570="Apex Office Supplies",E570="Apex Office Supply Ltd"),"Apex Office Supplies",IF(OR(E570="Northstar IT Services",E570="North Star IT Svc"),"Northstar IT Services",IF(OR(E570="Metro Logistics",E570="Metro Logistics Pvt Ltd"),"Metro Logistics",E570)))</f>
        <v/>
      </c>
      <c r="O570" s="7">
        <f>IF(AND(ISNUMBER(L570),L570&gt;0),"Valid","Review")</f>
        <v/>
      </c>
      <c r="P570" s="7">
        <f>IF(OR(E570="",F570="",NOT(ISNUMBER(L570))),"Check Missing/Invalid Data","OK")</f>
        <v/>
      </c>
    </row>
    <row r="571">
      <c r="A571" s="7" t="inlineStr">
        <is>
          <t>PO-00436</t>
        </is>
      </c>
      <c r="B571" s="9" t="n">
        <v>46009</v>
      </c>
      <c r="C571" s="7" t="inlineStr">
        <is>
          <t>Goods Receipt</t>
        </is>
      </c>
      <c r="D571" s="7" t="inlineStr">
        <is>
          <t>SUP011</t>
        </is>
      </c>
      <c r="E571" s="7">
        <f>IF(E571="","Unknown Supplier",TRIM(E571))</f>
        <v/>
      </c>
      <c r="F571" s="7">
        <f>IF(F571="","Unclassified",TRIM(F571))</f>
        <v/>
      </c>
      <c r="G571" s="7" t="inlineStr">
        <is>
          <t>Water services</t>
        </is>
      </c>
      <c r="H571" s="7" t="inlineStr">
        <is>
          <t>Manufacturing</t>
        </is>
      </c>
      <c r="I571" s="7" t="inlineStr">
        <is>
          <t>South</t>
        </is>
      </c>
      <c r="J571" s="7" t="n">
        <v>85</v>
      </c>
      <c r="K571" s="7" t="n">
        <v>140.59</v>
      </c>
      <c r="L571" s="7" t="n">
        <v>11950.56</v>
      </c>
      <c r="M571" s="7" t="inlineStr">
        <is>
          <t>Pending</t>
        </is>
      </c>
      <c r="N571" s="7">
        <f>IF(OR(E571="Apex Office Supplies",E571="Apex Office Supply Ltd"),"Apex Office Supplies",IF(OR(E571="Northstar IT Services",E571="North Star IT Svc"),"Northstar IT Services",IF(OR(E571="Metro Logistics",E571="Metro Logistics Pvt Ltd"),"Metro Logistics",E571)))</f>
        <v/>
      </c>
      <c r="O571" s="7">
        <f>IF(AND(ISNUMBER(L571),L571&gt;0),"Valid","Review")</f>
        <v/>
      </c>
      <c r="P571" s="7">
        <f>IF(OR(E571="",F571="",NOT(ISNUMBER(L571))),"Check Missing/Invalid Data","OK")</f>
        <v/>
      </c>
    </row>
    <row r="572">
      <c r="A572" s="7" t="inlineStr">
        <is>
          <t>PO-00485</t>
        </is>
      </c>
      <c r="B572" s="9" t="n">
        <v>46009</v>
      </c>
      <c r="C572" s="7" t="inlineStr">
        <is>
          <t>Invoice</t>
        </is>
      </c>
      <c r="D572" s="7" t="inlineStr">
        <is>
          <t>SUP005</t>
        </is>
      </c>
      <c r="E572" s="7">
        <f>IF(E572="","Unknown Supplier",TRIM(E572))</f>
        <v/>
      </c>
      <c r="F572" s="7">
        <f>IF(F572="","Unclassified",TRIM(F572))</f>
        <v/>
      </c>
      <c r="G572" s="7" t="inlineStr">
        <is>
          <t>Courier services</t>
        </is>
      </c>
      <c r="H572" s="7" t="inlineStr">
        <is>
          <t>Sales</t>
        </is>
      </c>
      <c r="I572" s="7" t="inlineStr">
        <is>
          <t>North</t>
        </is>
      </c>
      <c r="J572" s="7" t="n">
        <v>119</v>
      </c>
      <c r="K572" s="7" t="n">
        <v>73.62</v>
      </c>
      <c r="L572" s="7" t="n">
        <v>8761</v>
      </c>
      <c r="M572" s="7" t="inlineStr">
        <is>
          <t>Pending</t>
        </is>
      </c>
      <c r="N572" s="7">
        <f>IF(OR(E572="Apex Office Supplies",E572="Apex Office Supply Ltd"),"Apex Office Supplies",IF(OR(E572="Northstar IT Services",E572="North Star IT Svc"),"Northstar IT Services",IF(OR(E572="Metro Logistics",E572="Metro Logistics Pvt Ltd"),"Metro Logistics",E572)))</f>
        <v/>
      </c>
      <c r="O572" s="7">
        <f>IF(AND(ISNUMBER(L572),L572&gt;0),"Valid","Review")</f>
        <v/>
      </c>
      <c r="P572" s="7">
        <f>IF(OR(E572="",F572="",NOT(ISNUMBER(L572))),"Check Missing/Invalid Data","OK")</f>
        <v/>
      </c>
    </row>
    <row r="573">
      <c r="A573" s="7" t="inlineStr">
        <is>
          <t>PO-00541</t>
        </is>
      </c>
      <c r="B573" s="9" t="n">
        <v>46010</v>
      </c>
      <c r="C573" s="7" t="inlineStr">
        <is>
          <t>Invoice</t>
        </is>
      </c>
      <c r="D573" s="7" t="inlineStr">
        <is>
          <t>SUP001</t>
        </is>
      </c>
      <c r="E573" s="7">
        <f>IF(E573="","Unknown Supplier",TRIM(E573))</f>
        <v/>
      </c>
      <c r="F573" s="7">
        <f>IF(F573="","Unclassified",TRIM(F573))</f>
        <v/>
      </c>
      <c r="G573" s="7" t="inlineStr">
        <is>
          <t>Facility maintenance</t>
        </is>
      </c>
      <c r="H573" s="7" t="inlineStr">
        <is>
          <t>Manufacturing</t>
        </is>
      </c>
      <c r="I573" s="7" t="inlineStr">
        <is>
          <t>East</t>
        </is>
      </c>
      <c r="J573" s="7" t="n">
        <v>13</v>
      </c>
      <c r="K573" s="7" t="n">
        <v>531.09</v>
      </c>
      <c r="L573" s="7" t="n">
        <v>6904.17</v>
      </c>
      <c r="M573" s="7" t="inlineStr">
        <is>
          <t>Paid</t>
        </is>
      </c>
      <c r="N573" s="7">
        <f>IF(OR(E573="Apex Office Supplies",E573="Apex Office Supply Ltd"),"Apex Office Supplies",IF(OR(E573="Northstar IT Services",E573="North Star IT Svc"),"Northstar IT Services",IF(OR(E573="Metro Logistics",E573="Metro Logistics Pvt Ltd"),"Metro Logistics",E573)))</f>
        <v/>
      </c>
      <c r="O573" s="7">
        <f>IF(AND(ISNUMBER(L573),L573&gt;0),"Valid","Review")</f>
        <v/>
      </c>
      <c r="P573" s="7">
        <f>IF(OR(E573="",F573="",NOT(ISNUMBER(L573))),"Check Missing/Invalid Data","OK")</f>
        <v/>
      </c>
    </row>
    <row r="574">
      <c r="A574" s="7" t="inlineStr">
        <is>
          <t>PO-00221</t>
        </is>
      </c>
      <c r="B574" s="9" t="n">
        <v>46010</v>
      </c>
      <c r="C574" s="7" t="inlineStr">
        <is>
          <t>Goods Receipt</t>
        </is>
      </c>
      <c r="D574" s="7" t="inlineStr">
        <is>
          <t>SUP011</t>
        </is>
      </c>
      <c r="E574" s="7">
        <f>IF(E574="","Unknown Supplier",TRIM(E574))</f>
        <v/>
      </c>
      <c r="F574" s="7">
        <f>IF(F574="","Unclassified",TRIM(F574))</f>
        <v/>
      </c>
      <c r="G574" s="7" t="inlineStr">
        <is>
          <t>Promotional materials</t>
        </is>
      </c>
      <c r="H574" s="7" t="inlineStr">
        <is>
          <t>Operations</t>
        </is>
      </c>
      <c r="I574" s="7" t="inlineStr">
        <is>
          <t>North</t>
        </is>
      </c>
      <c r="J574" s="7" t="n">
        <v>84</v>
      </c>
      <c r="K574" s="7" t="n">
        <v>57.95</v>
      </c>
      <c r="L574" s="7" t="n">
        <v>4867.68</v>
      </c>
      <c r="M574" s="7" t="inlineStr">
        <is>
          <t>Overdue</t>
        </is>
      </c>
      <c r="N574" s="7">
        <f>IF(OR(E574="Apex Office Supplies",E574="Apex Office Supply Ltd"),"Apex Office Supplies",IF(OR(E574="Northstar IT Services",E574="North Star IT Svc"),"Northstar IT Services",IF(OR(E574="Metro Logistics",E574="Metro Logistics Pvt Ltd"),"Metro Logistics",E574)))</f>
        <v/>
      </c>
      <c r="O574" s="7">
        <f>IF(AND(ISNUMBER(L574),L574&gt;0),"Valid","Review")</f>
        <v/>
      </c>
      <c r="P574" s="7">
        <f>IF(OR(E574="",F574="",NOT(ISNUMBER(L574))),"Check Missing/Invalid Data","OK")</f>
        <v/>
      </c>
    </row>
    <row r="575">
      <c r="A575" s="7" t="inlineStr">
        <is>
          <t>PO-00404</t>
        </is>
      </c>
      <c r="B575" s="9" t="n">
        <v>46011</v>
      </c>
      <c r="C575" s="7" t="inlineStr">
        <is>
          <t>Invoice</t>
        </is>
      </c>
      <c r="D575" s="7" t="inlineStr">
        <is>
          <t>SUP004</t>
        </is>
      </c>
      <c r="E575" s="7">
        <f>IF(E575="","Unknown Supplier",TRIM(E575))</f>
        <v/>
      </c>
      <c r="F575" s="7">
        <f>IF(F575="","Unclassified",TRIM(F575))</f>
        <v/>
      </c>
      <c r="G575" s="7" t="inlineStr">
        <is>
          <t>Digital campaign</t>
        </is>
      </c>
      <c r="H575" s="7" t="inlineStr">
        <is>
          <t>Technology</t>
        </is>
      </c>
      <c r="I575" s="7" t="inlineStr">
        <is>
          <t>East</t>
        </is>
      </c>
      <c r="J575" s="7" t="n">
        <v>115</v>
      </c>
      <c r="K575" s="7" t="n">
        <v>144.21</v>
      </c>
      <c r="L575" s="7" t="n">
        <v>16584.53</v>
      </c>
      <c r="M575" s="7" t="inlineStr">
        <is>
          <t>Pending</t>
        </is>
      </c>
      <c r="N575" s="7">
        <f>IF(OR(E575="Apex Office Supplies",E575="Apex Office Supply Ltd"),"Apex Office Supplies",IF(OR(E575="Northstar IT Services",E575="North Star IT Svc"),"Northstar IT Services",IF(OR(E575="Metro Logistics",E575="Metro Logistics Pvt Ltd"),"Metro Logistics",E575)))</f>
        <v/>
      </c>
      <c r="O575" s="7">
        <f>IF(AND(ISNUMBER(L575),L575&gt;0),"Valid","Review")</f>
        <v/>
      </c>
      <c r="P575" s="7">
        <f>IF(OR(E575="",F575="",NOT(ISNUMBER(L575))),"Check Missing/Invalid Data","OK")</f>
        <v/>
      </c>
    </row>
    <row r="576">
      <c r="A576" s="7" t="inlineStr">
        <is>
          <t>PO-00594</t>
        </is>
      </c>
      <c r="B576" s="9" t="n">
        <v>46011</v>
      </c>
      <c r="C576" s="7" t="inlineStr">
        <is>
          <t>Goods Receipt</t>
        </is>
      </c>
      <c r="D576" s="7" t="inlineStr">
        <is>
          <t>SUP005</t>
        </is>
      </c>
      <c r="E576" s="7">
        <f>IF(E576="","Unknown Supplier",TRIM(E576))</f>
        <v/>
      </c>
      <c r="F576" s="7">
        <f>IF(F576="","Unclassified",TRIM(F576))</f>
        <v/>
      </c>
      <c r="G576" s="7" t="inlineStr">
        <is>
          <t>Freight services</t>
        </is>
      </c>
      <c r="H576" s="7" t="inlineStr">
        <is>
          <t>Corporate</t>
        </is>
      </c>
      <c r="I576" s="7" t="inlineStr">
        <is>
          <t>North</t>
        </is>
      </c>
      <c r="J576" s="7" t="n">
        <v>74</v>
      </c>
      <c r="K576" s="7" t="n">
        <v>212.77</v>
      </c>
      <c r="L576" s="7" t="n">
        <v>15744.61</v>
      </c>
      <c r="M576" s="7" t="inlineStr">
        <is>
          <t>Pending</t>
        </is>
      </c>
      <c r="N576" s="7">
        <f>IF(OR(E576="Apex Office Supplies",E576="Apex Office Supply Ltd"),"Apex Office Supplies",IF(OR(E576="Northstar IT Services",E576="North Star IT Svc"),"Northstar IT Services",IF(OR(E576="Metro Logistics",E576="Metro Logistics Pvt Ltd"),"Metro Logistics",E576)))</f>
        <v/>
      </c>
      <c r="O576" s="7">
        <f>IF(AND(ISNUMBER(L576),L576&gt;0),"Valid","Review")</f>
        <v/>
      </c>
      <c r="P576" s="7">
        <f>IF(OR(E576="",F576="",NOT(ISNUMBER(L576))),"Check Missing/Invalid Data","OK")</f>
        <v/>
      </c>
    </row>
    <row r="577">
      <c r="A577" s="7" t="inlineStr">
        <is>
          <t>PO-00070</t>
        </is>
      </c>
      <c r="B577" s="9" t="n">
        <v>46011</v>
      </c>
      <c r="C577" s="7" t="inlineStr">
        <is>
          <t>Goods Receipt</t>
        </is>
      </c>
      <c r="D577" s="7" t="inlineStr">
        <is>
          <t>SUP011</t>
        </is>
      </c>
      <c r="E577" s="7">
        <f>IF(E577="","Unknown Supplier",TRIM(E577))</f>
        <v/>
      </c>
      <c r="F577" s="7">
        <f>IF(F577="","Unclassified",TRIM(F577))</f>
        <v/>
      </c>
      <c r="G577" s="7" t="inlineStr">
        <is>
          <t>Promotional materials</t>
        </is>
      </c>
      <c r="H577" s="7" t="inlineStr">
        <is>
          <t>Corporate</t>
        </is>
      </c>
      <c r="I577" s="7" t="inlineStr">
        <is>
          <t>North</t>
        </is>
      </c>
      <c r="J577" s="7" t="n">
        <v>39</v>
      </c>
      <c r="K577" s="7" t="n">
        <v>322.71</v>
      </c>
      <c r="L577" s="7" t="n">
        <v>12585.81</v>
      </c>
      <c r="M577" s="7" t="inlineStr">
        <is>
          <t>Pending</t>
        </is>
      </c>
      <c r="N577" s="7">
        <f>IF(OR(E577="Apex Office Supplies",E577="Apex Office Supply Ltd"),"Apex Office Supplies",IF(OR(E577="Northstar IT Services",E577="North Star IT Svc"),"Northstar IT Services",IF(OR(E577="Metro Logistics",E577="Metro Logistics Pvt Ltd"),"Metro Logistics",E577)))</f>
        <v/>
      </c>
      <c r="O577" s="7">
        <f>IF(AND(ISNUMBER(L577),L577&gt;0),"Valid","Review")</f>
        <v/>
      </c>
      <c r="P577" s="7">
        <f>IF(OR(E577="",F577="",NOT(ISNUMBER(L577))),"Check Missing/Invalid Data","OK")</f>
        <v/>
      </c>
    </row>
    <row r="578">
      <c r="A578" s="7" t="inlineStr">
        <is>
          <t>PO-00597</t>
        </is>
      </c>
      <c r="B578" s="9" t="n">
        <v>46011</v>
      </c>
      <c r="C578" s="7" t="inlineStr">
        <is>
          <t>Goods Receipt</t>
        </is>
      </c>
      <c r="D578" s="7" t="inlineStr">
        <is>
          <t>SUP012</t>
        </is>
      </c>
      <c r="E578" s="7">
        <f>IF(E578="","Unknown Supplier",TRIM(E578))</f>
        <v/>
      </c>
      <c r="F578" s="7">
        <f>IF(F578="","Unclassified",TRIM(F578))</f>
        <v/>
      </c>
      <c r="G578" s="7" t="inlineStr">
        <is>
          <t>Equipment servicing</t>
        </is>
      </c>
      <c r="H578" s="7" t="inlineStr">
        <is>
          <t>Corporate</t>
        </is>
      </c>
      <c r="I578" s="7" t="inlineStr">
        <is>
          <t>West</t>
        </is>
      </c>
      <c r="J578" s="7" t="n">
        <v>77</v>
      </c>
      <c r="K578" s="7" t="n">
        <v>212.32</v>
      </c>
      <c r="L578" s="7" t="n">
        <v>16348.88</v>
      </c>
      <c r="M578" s="7" t="inlineStr">
        <is>
          <t>Paid</t>
        </is>
      </c>
      <c r="N578" s="7">
        <f>IF(OR(E578="Apex Office Supplies",E578="Apex Office Supply Ltd"),"Apex Office Supplies",IF(OR(E578="Northstar IT Services",E578="North Star IT Svc"),"Northstar IT Services",IF(OR(E578="Metro Logistics",E578="Metro Logistics Pvt Ltd"),"Metro Logistics",E578)))</f>
        <v/>
      </c>
      <c r="O578" s="7">
        <f>IF(AND(ISNUMBER(L578),L578&gt;0),"Valid","Review")</f>
        <v/>
      </c>
      <c r="P578" s="7">
        <f>IF(OR(E578="",F578="",NOT(ISNUMBER(L578))),"Check Missing/Invalid Data","OK")</f>
        <v/>
      </c>
    </row>
    <row r="579">
      <c r="A579" s="7" t="inlineStr">
        <is>
          <t>PO-00430</t>
        </is>
      </c>
      <c r="B579" s="9" t="n">
        <v>46013</v>
      </c>
      <c r="C579" s="7" t="inlineStr">
        <is>
          <t>Goods Receipt</t>
        </is>
      </c>
      <c r="D579" s="7" t="inlineStr">
        <is>
          <t>SUP006</t>
        </is>
      </c>
      <c r="E579" s="7">
        <f>IF(E579="","Unknown Supplier",TRIM(E579))</f>
        <v/>
      </c>
      <c r="F579" s="7">
        <f>IF(F579="","Unclassified",TRIM(F579))</f>
        <v/>
      </c>
      <c r="G579" s="7" t="inlineStr">
        <is>
          <t>Courier services</t>
        </is>
      </c>
      <c r="H579" s="7" t="inlineStr">
        <is>
          <t>Operations</t>
        </is>
      </c>
      <c r="I579" s="7" t="inlineStr">
        <is>
          <t>North</t>
        </is>
      </c>
      <c r="J579" s="7" t="n">
        <v>65</v>
      </c>
      <c r="K579" s="7" t="n">
        <v>51.17</v>
      </c>
      <c r="L579" s="7" t="n">
        <v>3325.92</v>
      </c>
      <c r="M579" s="7" t="inlineStr">
        <is>
          <t>Paid</t>
        </is>
      </c>
      <c r="N579" s="7">
        <f>IF(OR(E579="Apex Office Supplies",E579="Apex Office Supply Ltd"),"Apex Office Supplies",IF(OR(E579="Northstar IT Services",E579="North Star IT Svc"),"Northstar IT Services",IF(OR(E579="Metro Logistics",E579="Metro Logistics Pvt Ltd"),"Metro Logistics",E579)))</f>
        <v/>
      </c>
      <c r="O579" s="7">
        <f>IF(AND(ISNUMBER(L579),L579&gt;0),"Valid","Review")</f>
        <v/>
      </c>
      <c r="P579" s="7">
        <f>IF(OR(E579="",F579="",NOT(ISNUMBER(L579))),"Check Missing/Invalid Data","OK")</f>
        <v/>
      </c>
    </row>
    <row r="580">
      <c r="A580" s="7" t="inlineStr">
        <is>
          <t>PO-00292</t>
        </is>
      </c>
      <c r="B580" s="9" t="n">
        <v>46013</v>
      </c>
      <c r="C580" s="7" t="inlineStr">
        <is>
          <t>Invoice</t>
        </is>
      </c>
      <c r="D580" s="7" t="inlineStr">
        <is>
          <t>SUP011</t>
        </is>
      </c>
      <c r="E580" s="7">
        <f>IF(E580="","Unknown Supplier",TRIM(E580))</f>
        <v/>
      </c>
      <c r="F580" s="7">
        <f>IF(F580="","Unclassified",TRIM(F580))</f>
        <v/>
      </c>
      <c r="G580" s="7" t="inlineStr">
        <is>
          <t>Print advertising</t>
        </is>
      </c>
      <c r="H580" s="7" t="inlineStr">
        <is>
          <t>Technology</t>
        </is>
      </c>
      <c r="I580" s="7" t="inlineStr">
        <is>
          <t>West</t>
        </is>
      </c>
      <c r="J580" s="7" t="n">
        <v>32</v>
      </c>
      <c r="K580" s="7" t="n">
        <v>325.52</v>
      </c>
      <c r="L580" s="7" t="n">
        <v>10416.72</v>
      </c>
      <c r="M580" s="7" t="inlineStr">
        <is>
          <t>Pending</t>
        </is>
      </c>
      <c r="N580" s="7">
        <f>IF(OR(E580="Apex Office Supplies",E580="Apex Office Supply Ltd"),"Apex Office Supplies",IF(OR(E580="Northstar IT Services",E580="North Star IT Svc"),"Northstar IT Services",IF(OR(E580="Metro Logistics",E580="Metro Logistics Pvt Ltd"),"Metro Logistics",E580)))</f>
        <v/>
      </c>
      <c r="O580" s="7">
        <f>IF(AND(ISNUMBER(L580),L580&gt;0),"Valid","Review")</f>
        <v/>
      </c>
      <c r="P580" s="7">
        <f>IF(OR(E580="",F580="",NOT(ISNUMBER(L580))),"Check Missing/Invalid Data","OK")</f>
        <v/>
      </c>
    </row>
    <row r="581">
      <c r="A581" s="7" t="inlineStr">
        <is>
          <t>PO-00111</t>
        </is>
      </c>
      <c r="B581" s="9" t="n">
        <v>46013</v>
      </c>
      <c r="C581" s="7" t="inlineStr">
        <is>
          <t>Purchase Order</t>
        </is>
      </c>
      <c r="D581" s="7" t="inlineStr">
        <is>
          <t>SUP005</t>
        </is>
      </c>
      <c r="E581" s="7">
        <f>IF(E581="","Unknown Supplier",TRIM(E581))</f>
        <v/>
      </c>
      <c r="F581" s="7">
        <f>IF(F581="","Unclassified",TRIM(F581))</f>
        <v/>
      </c>
      <c r="G581" s="7" t="inlineStr">
        <is>
          <t>Courier services</t>
        </is>
      </c>
      <c r="H581" s="7" t="inlineStr">
        <is>
          <t>Technology</t>
        </is>
      </c>
      <c r="I581" s="7" t="inlineStr">
        <is>
          <t>East</t>
        </is>
      </c>
      <c r="J581" s="7" t="n">
        <v>102</v>
      </c>
      <c r="K581" s="7" t="n">
        <v>15.71</v>
      </c>
      <c r="L581" s="7" t="n">
        <v>1601.94</v>
      </c>
      <c r="M581" s="7" t="inlineStr">
        <is>
          <t>Pending</t>
        </is>
      </c>
      <c r="N581" s="7">
        <f>IF(OR(E581="Apex Office Supplies",E581="Apex Office Supply Ltd"),"Apex Office Supplies",IF(OR(E581="Northstar IT Services",E581="North Star IT Svc"),"Northstar IT Services",IF(OR(E581="Metro Logistics",E581="Metro Logistics Pvt Ltd"),"Metro Logistics",E581)))</f>
        <v/>
      </c>
      <c r="O581" s="7">
        <f>IF(AND(ISNUMBER(L581),L581&gt;0),"Valid","Review")</f>
        <v/>
      </c>
      <c r="P581" s="7">
        <f>IF(OR(E581="",F581="",NOT(ISNUMBER(L581))),"Check Missing/Invalid Data","OK")</f>
        <v/>
      </c>
    </row>
    <row r="582">
      <c r="A582" s="7" t="inlineStr">
        <is>
          <t>PO-00230</t>
        </is>
      </c>
      <c r="B582" s="9" t="n">
        <v>46014</v>
      </c>
      <c r="C582" s="7" t="inlineStr">
        <is>
          <t>Purchase Order</t>
        </is>
      </c>
      <c r="D582" s="7" t="inlineStr">
        <is>
          <t>SUP005</t>
        </is>
      </c>
      <c r="E582" s="7">
        <f>IF(E582="","Unknown Supplier",TRIM(E582))</f>
        <v/>
      </c>
      <c r="F582" s="7">
        <f>IF(F582="","Unclassified",TRIM(F582))</f>
        <v/>
      </c>
      <c r="G582" s="7" t="inlineStr">
        <is>
          <t>Freight services</t>
        </is>
      </c>
      <c r="H582" s="7" t="inlineStr">
        <is>
          <t>Corporate</t>
        </is>
      </c>
      <c r="I582" s="7" t="inlineStr">
        <is>
          <t>South</t>
        </is>
      </c>
      <c r="J582" s="7" t="n">
        <v>76</v>
      </c>
      <c r="K582" s="7" t="n">
        <v>248.92</v>
      </c>
      <c r="L582" s="7" t="n">
        <v>18918.12</v>
      </c>
      <c r="M582" s="7" t="inlineStr">
        <is>
          <t>Overdue</t>
        </is>
      </c>
      <c r="N582" s="7">
        <f>IF(OR(E582="Apex Office Supplies",E582="Apex Office Supply Ltd"),"Apex Office Supplies",IF(OR(E582="Northstar IT Services",E582="North Star IT Svc"),"Northstar IT Services",IF(OR(E582="Metro Logistics",E582="Metro Logistics Pvt Ltd"),"Metro Logistics",E582)))</f>
        <v/>
      </c>
      <c r="O582" s="7">
        <f>IF(AND(ISNUMBER(L582),L582&gt;0),"Valid","Review")</f>
        <v/>
      </c>
      <c r="P582" s="7">
        <f>IF(OR(E582="",F582="",NOT(ISNUMBER(L582))),"Check Missing/Invalid Data","OK")</f>
        <v/>
      </c>
    </row>
    <row r="583">
      <c r="A583" s="7" t="inlineStr">
        <is>
          <t>PO-00445</t>
        </is>
      </c>
      <c r="B583" s="9" t="n">
        <v>46014</v>
      </c>
      <c r="C583" s="7" t="inlineStr">
        <is>
          <t>Goods Receipt</t>
        </is>
      </c>
      <c r="D583" s="7" t="inlineStr">
        <is>
          <t>SUP012</t>
        </is>
      </c>
      <c r="E583" s="7">
        <f>IF(E583="","Unknown Supplier",TRIM(E583))</f>
        <v/>
      </c>
      <c r="F583" s="7">
        <f>IF(F583="","Unclassified",TRIM(F583))</f>
        <v/>
      </c>
      <c r="G583" s="7" t="inlineStr">
        <is>
          <t>Courier services</t>
        </is>
      </c>
      <c r="H583" s="7" t="inlineStr">
        <is>
          <t>Manufacturing</t>
        </is>
      </c>
      <c r="I583" s="7" t="inlineStr">
        <is>
          <t>West</t>
        </is>
      </c>
      <c r="J583" s="7" t="n">
        <v>117</v>
      </c>
      <c r="K583" s="7" t="n">
        <v>28.69</v>
      </c>
      <c r="L583" s="7" t="n">
        <v>3356.46</v>
      </c>
      <c r="M583" s="7" t="inlineStr">
        <is>
          <t>Paid</t>
        </is>
      </c>
      <c r="N583" s="7">
        <f>IF(OR(E583="Apex Office Supplies",E583="Apex Office Supply Ltd"),"Apex Office Supplies",IF(OR(E583="Northstar IT Services",E583="North Star IT Svc"),"Northstar IT Services",IF(OR(E583="Metro Logistics",E583="Metro Logistics Pvt Ltd"),"Metro Logistics",E583)))</f>
        <v/>
      </c>
      <c r="O583" s="7">
        <f>IF(AND(ISNUMBER(L583),L583&gt;0),"Valid","Review")</f>
        <v/>
      </c>
      <c r="P583" s="7">
        <f>IF(OR(E583="",F583="",NOT(ISNUMBER(L583))),"Check Missing/Invalid Data","OK")</f>
        <v/>
      </c>
    </row>
    <row r="584">
      <c r="A584" s="7" t="inlineStr">
        <is>
          <t>PO-00054</t>
        </is>
      </c>
      <c r="B584" s="9" t="n">
        <v>46014</v>
      </c>
      <c r="C584" s="7" t="inlineStr">
        <is>
          <t>Goods Receipt</t>
        </is>
      </c>
      <c r="D584" s="7" t="inlineStr">
        <is>
          <t>SUP007</t>
        </is>
      </c>
      <c r="E584" s="7">
        <f>IF(E584="","Unknown Supplier",TRIM(E584))</f>
        <v/>
      </c>
      <c r="F584" s="7">
        <f>IF(F584="","Unclassified",TRIM(F584))</f>
        <v/>
      </c>
      <c r="G584" s="7" t="inlineStr">
        <is>
          <t>Cleaning services</t>
        </is>
      </c>
      <c r="H584" s="7" t="inlineStr">
        <is>
          <t>Corporate</t>
        </is>
      </c>
      <c r="I584" s="7" t="inlineStr">
        <is>
          <t>West</t>
        </is>
      </c>
      <c r="J584" s="7" t="n">
        <v>84</v>
      </c>
      <c r="K584" s="7" t="n">
        <v>53.36</v>
      </c>
      <c r="L584" s="7" t="n">
        <v>4482.44</v>
      </c>
      <c r="M584" s="7" t="inlineStr">
        <is>
          <t>Paid</t>
        </is>
      </c>
      <c r="N584" s="7">
        <f>IF(OR(E584="Apex Office Supplies",E584="Apex Office Supply Ltd"),"Apex Office Supplies",IF(OR(E584="Northstar IT Services",E584="North Star IT Svc"),"Northstar IT Services",IF(OR(E584="Metro Logistics",E584="Metro Logistics Pvt Ltd"),"Metro Logistics",E584)))</f>
        <v/>
      </c>
      <c r="O584" s="7">
        <f>IF(AND(ISNUMBER(L584),L584&gt;0),"Valid","Review")</f>
        <v/>
      </c>
      <c r="P584" s="7">
        <f>IF(OR(E584="",F584="",NOT(ISNUMBER(L584))),"Check Missing/Invalid Data","OK")</f>
        <v/>
      </c>
    </row>
    <row r="585">
      <c r="A585" s="7" t="inlineStr">
        <is>
          <t>PO-00263</t>
        </is>
      </c>
      <c r="B585" s="9" t="n">
        <v>46014</v>
      </c>
      <c r="C585" s="7" t="inlineStr">
        <is>
          <t>Goods Receipt</t>
        </is>
      </c>
      <c r="D585" s="7" t="inlineStr">
        <is>
          <t>SUP010</t>
        </is>
      </c>
      <c r="E585" s="7">
        <f>IF(E585="","Unknown Supplier",TRIM(E585))</f>
        <v/>
      </c>
      <c r="F585" s="7">
        <f>IF(F585="","Unclassified",TRIM(F585))</f>
        <v/>
      </c>
      <c r="G585" s="7" t="inlineStr">
        <is>
          <t>Water services</t>
        </is>
      </c>
      <c r="H585" s="7" t="inlineStr">
        <is>
          <t>Technology</t>
        </is>
      </c>
      <c r="I585" s="7" t="inlineStr">
        <is>
          <t>West</t>
        </is>
      </c>
      <c r="J585" s="7" t="n">
        <v>31</v>
      </c>
      <c r="K585" s="7" t="n">
        <v>232.64</v>
      </c>
      <c r="L585" s="7" t="n">
        <v>7211.78</v>
      </c>
      <c r="M585" s="7" t="inlineStr">
        <is>
          <t>Pending</t>
        </is>
      </c>
      <c r="N585" s="7">
        <f>IF(OR(E585="Apex Office Supplies",E585="Apex Office Supply Ltd"),"Apex Office Supplies",IF(OR(E585="Northstar IT Services",E585="North Star IT Svc"),"Northstar IT Services",IF(OR(E585="Metro Logistics",E585="Metro Logistics Pvt Ltd"),"Metro Logistics",E585)))</f>
        <v/>
      </c>
      <c r="O585" s="7">
        <f>IF(AND(ISNUMBER(L585),L585&gt;0),"Valid","Review")</f>
        <v/>
      </c>
      <c r="P585" s="7">
        <f>IF(OR(E585="",F585="",NOT(ISNUMBER(L585))),"Check Missing/Invalid Data","OK")</f>
        <v/>
      </c>
    </row>
    <row r="586">
      <c r="A586" s="7" t="inlineStr">
        <is>
          <t>PO-00375</t>
        </is>
      </c>
      <c r="B586" s="9" t="n">
        <v>46016</v>
      </c>
      <c r="C586" s="7" t="inlineStr">
        <is>
          <t>Purchase Order</t>
        </is>
      </c>
      <c r="D586" s="7" t="inlineStr">
        <is>
          <t>SUP006</t>
        </is>
      </c>
      <c r="E586" s="7">
        <f>IF(E586="","Unknown Supplier",TRIM(E586))</f>
        <v/>
      </c>
      <c r="F586" s="7">
        <f>IF(F586="","Unclassified",TRIM(F586))</f>
        <v/>
      </c>
      <c r="G586" s="7" t="inlineStr">
        <is>
          <t>Courier services</t>
        </is>
      </c>
      <c r="H586" s="7" t="inlineStr">
        <is>
          <t>Manufacturing</t>
        </is>
      </c>
      <c r="I586" s="7" t="inlineStr">
        <is>
          <t>East</t>
        </is>
      </c>
      <c r="J586" s="7" t="n">
        <v>73</v>
      </c>
      <c r="K586" s="7" t="n">
        <v>237.47</v>
      </c>
      <c r="L586" s="7" t="n">
        <v>17335.38</v>
      </c>
      <c r="M586" s="7" t="inlineStr">
        <is>
          <t>Paid</t>
        </is>
      </c>
      <c r="N586" s="7">
        <f>IF(OR(E586="Apex Office Supplies",E586="Apex Office Supply Ltd"),"Apex Office Supplies",IF(OR(E586="Northstar IT Services",E586="North Star IT Svc"),"Northstar IT Services",IF(OR(E586="Metro Logistics",E586="Metro Logistics Pvt Ltd"),"Metro Logistics",E586)))</f>
        <v/>
      </c>
      <c r="O586" s="7">
        <f>IF(AND(ISNUMBER(L586),L586&gt;0),"Valid","Review")</f>
        <v/>
      </c>
      <c r="P586" s="7">
        <f>IF(OR(E586="",F586="",NOT(ISNUMBER(L586))),"Check Missing/Invalid Data","OK")</f>
        <v/>
      </c>
    </row>
    <row r="587">
      <c r="A587" s="7" t="inlineStr">
        <is>
          <t>PO-00223</t>
        </is>
      </c>
      <c r="B587" s="9" t="n">
        <v>46016</v>
      </c>
      <c r="C587" s="7" t="inlineStr">
        <is>
          <t>Purchase Order</t>
        </is>
      </c>
      <c r="D587" s="7" t="inlineStr">
        <is>
          <t>SUP002</t>
        </is>
      </c>
      <c r="E587" s="7">
        <f>IF(E587="","Unknown Supplier",TRIM(E587))</f>
        <v/>
      </c>
      <c r="F587" s="7">
        <f>IF(F587="","Unclassified",TRIM(F587))</f>
        <v/>
      </c>
      <c r="G587" s="7" t="inlineStr">
        <is>
          <t>Pens and stationery</t>
        </is>
      </c>
      <c r="H587" s="7" t="inlineStr">
        <is>
          <t>Operations</t>
        </is>
      </c>
      <c r="I587" s="7" t="inlineStr">
        <is>
          <t>West</t>
        </is>
      </c>
      <c r="J587" s="7" t="n">
        <v>54</v>
      </c>
      <c r="K587" s="7" t="n">
        <v>148.25</v>
      </c>
      <c r="L587" s="7" t="n">
        <v>8005.77</v>
      </c>
      <c r="M587" s="7" t="inlineStr">
        <is>
          <t>Overdue</t>
        </is>
      </c>
      <c r="N587" s="7">
        <f>IF(OR(E587="Apex Office Supplies",E587="Apex Office Supply Ltd"),"Apex Office Supplies",IF(OR(E587="Northstar IT Services",E587="North Star IT Svc"),"Northstar IT Services",IF(OR(E587="Metro Logistics",E587="Metro Logistics Pvt Ltd"),"Metro Logistics",E587)))</f>
        <v/>
      </c>
      <c r="O587" s="7">
        <f>IF(AND(ISNUMBER(L587),L587&gt;0),"Valid","Review")</f>
        <v/>
      </c>
      <c r="P587" s="7">
        <f>IF(OR(E587="",F587="",NOT(ISNUMBER(L587))),"Check Missing/Invalid Data","OK")</f>
        <v/>
      </c>
    </row>
    <row r="588">
      <c r="A588" s="7" t="inlineStr">
        <is>
          <t>PO-00068</t>
        </is>
      </c>
      <c r="B588" s="9" t="n">
        <v>46016</v>
      </c>
      <c r="C588" s="7" t="inlineStr">
        <is>
          <t>Goods Receipt</t>
        </is>
      </c>
      <c r="D588" s="7" t="inlineStr">
        <is>
          <t>SUP005</t>
        </is>
      </c>
      <c r="E588" s="7">
        <f>IF(E588="","Unknown Supplier",TRIM(E588))</f>
        <v/>
      </c>
      <c r="F588" s="7">
        <f>IF(F588="","Unclassified",TRIM(F588))</f>
        <v/>
      </c>
      <c r="G588" s="7" t="inlineStr">
        <is>
          <t>Warehouse handling</t>
        </is>
      </c>
      <c r="H588" s="7" t="inlineStr">
        <is>
          <t>Corporate</t>
        </is>
      </c>
      <c r="I588" s="7" t="inlineStr">
        <is>
          <t>South</t>
        </is>
      </c>
      <c r="J588" s="7" t="n">
        <v>78</v>
      </c>
      <c r="K588" s="7" t="n">
        <v>68</v>
      </c>
      <c r="L588" s="7" t="n">
        <v>5304.12</v>
      </c>
      <c r="M588" s="7" t="inlineStr">
        <is>
          <t>Pending</t>
        </is>
      </c>
      <c r="N588" s="7">
        <f>IF(OR(E588="Apex Office Supplies",E588="Apex Office Supply Ltd"),"Apex Office Supplies",IF(OR(E588="Northstar IT Services",E588="North Star IT Svc"),"Northstar IT Services",IF(OR(E588="Metro Logistics",E588="Metro Logistics Pvt Ltd"),"Metro Logistics",E588)))</f>
        <v/>
      </c>
      <c r="O588" s="7">
        <f>IF(AND(ISNUMBER(L588),L588&gt;0),"Valid","Review")</f>
        <v/>
      </c>
      <c r="P588" s="7">
        <f>IF(OR(E588="",F588="",NOT(ISNUMBER(L588))),"Check Missing/Invalid Data","OK")</f>
        <v/>
      </c>
    </row>
    <row r="589">
      <c r="A589" s="7" t="inlineStr">
        <is>
          <t>PO-00341</t>
        </is>
      </c>
      <c r="B589" s="9" t="n">
        <v>46017</v>
      </c>
      <c r="C589" s="7" t="inlineStr">
        <is>
          <t>Purchase Order</t>
        </is>
      </c>
      <c r="D589" s="7" t="inlineStr">
        <is>
          <t>SUP007</t>
        </is>
      </c>
      <c r="E589" s="7">
        <f>IF(E589="","Unknown Supplier",TRIM(E589))</f>
        <v/>
      </c>
      <c r="F589" s="7">
        <f>IF(F589="","Unclassified",TRIM(F589))</f>
        <v/>
      </c>
      <c r="G589" s="7" t="inlineStr">
        <is>
          <t>Facility maintenance</t>
        </is>
      </c>
      <c r="H589" s="7" t="inlineStr">
        <is>
          <t>Corporate</t>
        </is>
      </c>
      <c r="I589" s="7" t="inlineStr">
        <is>
          <t>East</t>
        </is>
      </c>
      <c r="J589" s="7" t="n">
        <v>79</v>
      </c>
      <c r="K589" s="7" t="n">
        <v>122.96</v>
      </c>
      <c r="L589" s="7" t="n">
        <v>9713.780000000001</v>
      </c>
      <c r="M589" s="7" t="inlineStr">
        <is>
          <t>Paid</t>
        </is>
      </c>
      <c r="N589" s="7">
        <f>IF(OR(E589="Apex Office Supplies",E589="Apex Office Supply Ltd"),"Apex Office Supplies",IF(OR(E589="Northstar IT Services",E589="North Star IT Svc"),"Northstar IT Services",IF(OR(E589="Metro Logistics",E589="Metro Logistics Pvt Ltd"),"Metro Logistics",E589)))</f>
        <v/>
      </c>
      <c r="O589" s="7">
        <f>IF(AND(ISNUMBER(L589),L589&gt;0),"Valid","Review")</f>
        <v/>
      </c>
      <c r="P589" s="7">
        <f>IF(OR(E589="",F589="",NOT(ISNUMBER(L589))),"Check Missing/Invalid Data","OK")</f>
        <v/>
      </c>
    </row>
    <row r="590">
      <c r="A590" s="7" t="inlineStr">
        <is>
          <t>PO-00043</t>
        </is>
      </c>
      <c r="B590" s="9" t="n">
        <v>46017</v>
      </c>
      <c r="C590" s="7" t="inlineStr">
        <is>
          <t>Purchase Order</t>
        </is>
      </c>
      <c r="D590" s="7" t="inlineStr">
        <is>
          <t>SUP002</t>
        </is>
      </c>
      <c r="E590" s="7">
        <f>IF(E590="","Unknown Supplier",TRIM(E590))</f>
        <v/>
      </c>
      <c r="F590" s="7">
        <f>IF(F590="","Unclassified",TRIM(F590))</f>
        <v/>
      </c>
      <c r="G590" s="7" t="inlineStr">
        <is>
          <t>Printer paper</t>
        </is>
      </c>
      <c r="H590" s="7" t="inlineStr">
        <is>
          <t>Sales</t>
        </is>
      </c>
      <c r="I590" s="7" t="inlineStr">
        <is>
          <t>East</t>
        </is>
      </c>
      <c r="J590" s="7" t="n">
        <v>61</v>
      </c>
      <c r="K590" s="7" t="n">
        <v>13.32</v>
      </c>
      <c r="L590" s="7" t="n">
        <v>812.4</v>
      </c>
      <c r="M590" s="7" t="inlineStr">
        <is>
          <t>Pending</t>
        </is>
      </c>
      <c r="N590" s="7">
        <f>IF(OR(E590="Apex Office Supplies",E590="Apex Office Supply Ltd"),"Apex Office Supplies",IF(OR(E590="Northstar IT Services",E590="North Star IT Svc"),"Northstar IT Services",IF(OR(E590="Metro Logistics",E590="Metro Logistics Pvt Ltd"),"Metro Logistics",E590)))</f>
        <v/>
      </c>
      <c r="O590" s="7">
        <f>IF(AND(ISNUMBER(L590),L590&gt;0),"Valid","Review")</f>
        <v/>
      </c>
      <c r="P590" s="7">
        <f>IF(OR(E590="",F590="",NOT(ISNUMBER(L590))),"Check Missing/Invalid Data","OK")</f>
        <v/>
      </c>
    </row>
    <row r="591">
      <c r="A591" s="7" t="inlineStr">
        <is>
          <t>PO-00481</t>
        </is>
      </c>
      <c r="B591" s="9" t="n">
        <v>46017</v>
      </c>
      <c r="C591" s="7" t="inlineStr">
        <is>
          <t>Goods Receipt</t>
        </is>
      </c>
      <c r="D591" s="7" t="inlineStr">
        <is>
          <t>SUP012</t>
        </is>
      </c>
      <c r="E591" s="7">
        <f>IF(E591="","Unknown Supplier",TRIM(E591))</f>
        <v/>
      </c>
      <c r="F591" s="7">
        <f>IF(F591="","Unclassified",TRIM(F591))</f>
        <v/>
      </c>
      <c r="G591" s="7" t="inlineStr">
        <is>
          <t>Tools and supplies</t>
        </is>
      </c>
      <c r="H591" s="7" t="inlineStr">
        <is>
          <t>Operations</t>
        </is>
      </c>
      <c r="I591" s="7" t="inlineStr">
        <is>
          <t>North</t>
        </is>
      </c>
      <c r="J591" s="7" t="n">
        <v>10</v>
      </c>
      <c r="K591" s="7" t="n">
        <v>1168.05</v>
      </c>
      <c r="L591" s="7" t="n">
        <v>11680.51</v>
      </c>
      <c r="M591" s="7" t="inlineStr">
        <is>
          <t>Pending</t>
        </is>
      </c>
      <c r="N591" s="7">
        <f>IF(OR(E591="Apex Office Supplies",E591="Apex Office Supply Ltd"),"Apex Office Supplies",IF(OR(E591="Northstar IT Services",E591="North Star IT Svc"),"Northstar IT Services",IF(OR(E591="Metro Logistics",E591="Metro Logistics Pvt Ltd"),"Metro Logistics",E591)))</f>
        <v/>
      </c>
      <c r="O591" s="7">
        <f>IF(AND(ISNUMBER(L591),L591&gt;0),"Valid","Review")</f>
        <v/>
      </c>
      <c r="P591" s="7">
        <f>IF(OR(E591="",F591="",NOT(ISNUMBER(L591))),"Check Missing/Invalid Data","OK")</f>
        <v/>
      </c>
    </row>
    <row r="592">
      <c r="A592" s="7" t="inlineStr">
        <is>
          <t>PO-00378</t>
        </is>
      </c>
      <c r="B592" s="9" t="n">
        <v>46018</v>
      </c>
      <c r="C592" s="7" t="inlineStr">
        <is>
          <t>Invoice</t>
        </is>
      </c>
      <c r="D592" s="7" t="inlineStr">
        <is>
          <t>SUP003</t>
        </is>
      </c>
      <c r="E592" s="7">
        <f>IF(E592="","Unknown Supplier",TRIM(E592))</f>
        <v/>
      </c>
      <c r="F592" s="7">
        <f>IF(F592="","Unclassified",TRIM(F592))</f>
        <v/>
      </c>
      <c r="G592" s="7" t="inlineStr">
        <is>
          <t>Software support</t>
        </is>
      </c>
      <c r="H592" s="7" t="inlineStr">
        <is>
          <t>Technology</t>
        </is>
      </c>
      <c r="I592" s="7" t="inlineStr">
        <is>
          <t>West</t>
        </is>
      </c>
      <c r="J592" s="7" t="n">
        <v>111</v>
      </c>
      <c r="K592" s="7" t="n">
        <v>233.64</v>
      </c>
      <c r="L592" s="7" t="n">
        <v>25933.63</v>
      </c>
      <c r="M592" s="7" t="inlineStr">
        <is>
          <t>Overdue</t>
        </is>
      </c>
      <c r="N592" s="7">
        <f>IF(OR(E592="Apex Office Supplies",E592="Apex Office Supply Ltd"),"Apex Office Supplies",IF(OR(E592="Northstar IT Services",E592="North Star IT Svc"),"Northstar IT Services",IF(OR(E592="Metro Logistics",E592="Metro Logistics Pvt Ltd"),"Metro Logistics",E592)))</f>
        <v/>
      </c>
      <c r="O592" s="7">
        <f>IF(AND(ISNUMBER(L592),L592&gt;0),"Valid","Review")</f>
        <v/>
      </c>
      <c r="P592" s="7">
        <f>IF(OR(E592="",F592="",NOT(ISNUMBER(L592))),"Check Missing/Invalid Data","OK")</f>
        <v/>
      </c>
    </row>
    <row r="593">
      <c r="A593" s="7" t="inlineStr">
        <is>
          <t>PO-00320</t>
        </is>
      </c>
      <c r="B593" s="9" t="n">
        <v>46018</v>
      </c>
      <c r="C593" s="7" t="inlineStr">
        <is>
          <t>Goods Receipt</t>
        </is>
      </c>
      <c r="D593" s="7" t="inlineStr">
        <is>
          <t>SUP005</t>
        </is>
      </c>
      <c r="E593" s="7">
        <f>IF(E593="","Unknown Supplier",TRIM(E593))</f>
        <v/>
      </c>
      <c r="F593" s="7">
        <f>IF(F593="","Unclassified",TRIM(F593))</f>
        <v/>
      </c>
      <c r="G593" s="7" t="inlineStr">
        <is>
          <t>Warehouse handling</t>
        </is>
      </c>
      <c r="H593" s="7" t="inlineStr">
        <is>
          <t>Corporate</t>
        </is>
      </c>
      <c r="I593" s="7" t="inlineStr">
        <is>
          <t>South</t>
        </is>
      </c>
      <c r="J593" s="7" t="n">
        <v>110</v>
      </c>
      <c r="K593" s="7" t="n">
        <v>75.73</v>
      </c>
      <c r="L593" s="7" t="n">
        <v>8330.16</v>
      </c>
      <c r="M593" s="7" t="inlineStr">
        <is>
          <t>Pending</t>
        </is>
      </c>
      <c r="N593" s="7">
        <f>IF(OR(E593="Apex Office Supplies",E593="Apex Office Supply Ltd"),"Apex Office Supplies",IF(OR(E593="Northstar IT Services",E593="North Star IT Svc"),"Northstar IT Services",IF(OR(E593="Metro Logistics",E593="Metro Logistics Pvt Ltd"),"Metro Logistics",E593)))</f>
        <v/>
      </c>
      <c r="O593" s="7">
        <f>IF(AND(ISNUMBER(L593),L593&gt;0),"Valid","Review")</f>
        <v/>
      </c>
      <c r="P593" s="7">
        <f>IF(OR(E593="",F593="",NOT(ISNUMBER(L593))),"Check Missing/Invalid Data","OK")</f>
        <v/>
      </c>
    </row>
    <row r="594">
      <c r="A594" s="7" t="inlineStr">
        <is>
          <t>PO-00586</t>
        </is>
      </c>
      <c r="B594" s="9" t="n">
        <v>46020</v>
      </c>
      <c r="C594" s="7" t="inlineStr">
        <is>
          <t>Goods Receipt</t>
        </is>
      </c>
      <c r="D594" s="7" t="inlineStr">
        <is>
          <t>SUP001</t>
        </is>
      </c>
      <c r="E594" s="7">
        <f>IF(E594="","Unknown Supplier",TRIM(E594))</f>
        <v/>
      </c>
      <c r="F594" s="7">
        <f>IF(F594="","Unclassified",TRIM(F594))</f>
        <v/>
      </c>
      <c r="G594" s="7" t="inlineStr">
        <is>
          <t>Printer paper</t>
        </is>
      </c>
      <c r="H594" s="7" t="inlineStr">
        <is>
          <t>Technology</t>
        </is>
      </c>
      <c r="I594" s="7" t="inlineStr">
        <is>
          <t>North</t>
        </is>
      </c>
      <c r="J594" s="7" t="n">
        <v>6</v>
      </c>
      <c r="K594" s="7" t="n">
        <v>812.13</v>
      </c>
      <c r="L594" s="7" t="n">
        <v>4872.78</v>
      </c>
      <c r="M594" s="7" t="inlineStr">
        <is>
          <t>Paid</t>
        </is>
      </c>
      <c r="N594" s="7">
        <f>IF(OR(E594="Apex Office Supplies",E594="Apex Office Supply Ltd"),"Apex Office Supplies",IF(OR(E594="Northstar IT Services",E594="North Star IT Svc"),"Northstar IT Services",IF(OR(E594="Metro Logistics",E594="Metro Logistics Pvt Ltd"),"Metro Logistics",E594)))</f>
        <v/>
      </c>
      <c r="O594" s="7">
        <f>IF(AND(ISNUMBER(L594),L594&gt;0),"Valid","Review")</f>
        <v/>
      </c>
      <c r="P594" s="7">
        <f>IF(OR(E594="",F594="",NOT(ISNUMBER(L594))),"Check Missing/Invalid Data","OK")</f>
        <v/>
      </c>
    </row>
    <row r="595">
      <c r="A595" s="7" t="inlineStr">
        <is>
          <t>PO-00380</t>
        </is>
      </c>
      <c r="B595" s="9" t="n">
        <v>46020</v>
      </c>
      <c r="C595" s="7" t="inlineStr">
        <is>
          <t>Invoice</t>
        </is>
      </c>
      <c r="D595" s="7" t="inlineStr">
        <is>
          <t>SUP009</t>
        </is>
      </c>
      <c r="E595" s="7">
        <f>IF(E595="","Unknown Supplier",TRIM(E595))</f>
        <v/>
      </c>
      <c r="F595" s="7">
        <f>IF(F595="","Unclassified",TRIM(F595))</f>
        <v/>
      </c>
      <c r="G595" s="7" t="inlineStr">
        <is>
          <t>Business consulting</t>
        </is>
      </c>
      <c r="H595" s="7" t="inlineStr">
        <is>
          <t>Manufacturing</t>
        </is>
      </c>
      <c r="I595" s="7" t="inlineStr">
        <is>
          <t>South</t>
        </is>
      </c>
      <c r="J595" s="7" t="n">
        <v>101</v>
      </c>
      <c r="K595" s="7" t="n">
        <v>281.56</v>
      </c>
      <c r="L595" s="7" t="n">
        <v>28437.18</v>
      </c>
      <c r="M595" s="7" t="inlineStr">
        <is>
          <t>Pending</t>
        </is>
      </c>
      <c r="N595" s="7">
        <f>IF(OR(E595="Apex Office Supplies",E595="Apex Office Supply Ltd"),"Apex Office Supplies",IF(OR(E595="Northstar IT Services",E595="North Star IT Svc"),"Northstar IT Services",IF(OR(E595="Metro Logistics",E595="Metro Logistics Pvt Ltd"),"Metro Logistics",E595)))</f>
        <v/>
      </c>
      <c r="O595" s="7">
        <f>IF(AND(ISNUMBER(L595),L595&gt;0),"Valid","Review")</f>
        <v/>
      </c>
      <c r="P595" s="7">
        <f>IF(OR(E595="",F595="",NOT(ISNUMBER(L595))),"Check Missing/Invalid Data","OK")</f>
        <v/>
      </c>
    </row>
    <row r="596">
      <c r="A596" s="7" t="inlineStr">
        <is>
          <t>PO-00167</t>
        </is>
      </c>
      <c r="B596" s="9" t="n">
        <v>46020</v>
      </c>
      <c r="C596" s="7" t="inlineStr">
        <is>
          <t>Invoice</t>
        </is>
      </c>
      <c r="D596" s="7" t="inlineStr">
        <is>
          <t>SUP002</t>
        </is>
      </c>
      <c r="E596" s="7">
        <f>IF(E596="","Unknown Supplier",TRIM(E596))</f>
        <v/>
      </c>
      <c r="F596" s="7">
        <f>IF(F596="","Unclassified",TRIM(F596))</f>
        <v/>
      </c>
      <c r="G596" s="7" t="inlineStr">
        <is>
          <t>Printer paper</t>
        </is>
      </c>
      <c r="H596" s="7" t="inlineStr">
        <is>
          <t>Manufacturing</t>
        </is>
      </c>
      <c r="I596" s="7" t="inlineStr">
        <is>
          <t>North</t>
        </is>
      </c>
      <c r="J596" s="7" t="n">
        <v>102</v>
      </c>
      <c r="K596" s="7" t="n">
        <v>67.20999999999999</v>
      </c>
      <c r="L596" s="7" t="n">
        <v>6855.03</v>
      </c>
      <c r="M596" s="7" t="inlineStr">
        <is>
          <t>Overdue</t>
        </is>
      </c>
      <c r="N596" s="7">
        <f>IF(OR(E596="Apex Office Supplies",E596="Apex Office Supply Ltd"),"Apex Office Supplies",IF(OR(E596="Northstar IT Services",E596="North Star IT Svc"),"Northstar IT Services",IF(OR(E596="Metro Logistics",E596="Metro Logistics Pvt Ltd"),"Metro Logistics",E596)))</f>
        <v/>
      </c>
      <c r="O596" s="7">
        <f>IF(AND(ISNUMBER(L596),L596&gt;0),"Valid","Review")</f>
        <v/>
      </c>
      <c r="P596" s="7">
        <f>IF(OR(E596="",F596="",NOT(ISNUMBER(L596))),"Check Missing/Invalid Data","OK")</f>
        <v/>
      </c>
    </row>
    <row r="597">
      <c r="A597" s="7" t="inlineStr">
        <is>
          <t>PO-00420</t>
        </is>
      </c>
      <c r="B597" s="9" t="n">
        <v>46020</v>
      </c>
      <c r="C597" s="7" t="inlineStr">
        <is>
          <t>Purchase Order</t>
        </is>
      </c>
      <c r="D597" s="7" t="inlineStr">
        <is>
          <t>SUP010</t>
        </is>
      </c>
      <c r="E597" s="7">
        <f>IF(E597="","Unknown Supplier",TRIM(E597))</f>
        <v/>
      </c>
      <c r="F597" s="7">
        <f>IF(F597="","Unclassified",TRIM(F597))</f>
        <v/>
      </c>
      <c r="G597" s="7" t="inlineStr">
        <is>
          <t>Natural gas</t>
        </is>
      </c>
      <c r="H597" s="7" t="inlineStr">
        <is>
          <t>Manufacturing</t>
        </is>
      </c>
      <c r="I597" s="7" t="inlineStr">
        <is>
          <t>West</t>
        </is>
      </c>
      <c r="J597" s="7" t="n">
        <v>92</v>
      </c>
      <c r="K597" s="7" t="n">
        <v>68</v>
      </c>
      <c r="L597" s="7" t="n">
        <v>6255.83</v>
      </c>
      <c r="M597" s="7" t="inlineStr">
        <is>
          <t>Overdue</t>
        </is>
      </c>
      <c r="N597" s="7">
        <f>IF(OR(E597="Apex Office Supplies",E597="Apex Office Supply Ltd"),"Apex Office Supplies",IF(OR(E597="Northstar IT Services",E597="North Star IT Svc"),"Northstar IT Services",IF(OR(E597="Metro Logistics",E597="Metro Logistics Pvt Ltd"),"Metro Logistics",E597)))</f>
        <v/>
      </c>
      <c r="O597" s="7">
        <f>IF(AND(ISNUMBER(L597),L597&gt;0),"Valid","Review")</f>
        <v/>
      </c>
      <c r="P597" s="7">
        <f>IF(OR(E597="",F597="",NOT(ISNUMBER(L597))),"Check Missing/Invalid Data","OK")</f>
        <v/>
      </c>
    </row>
    <row r="598">
      <c r="A598" s="7" t="inlineStr">
        <is>
          <t>PO-00414</t>
        </is>
      </c>
      <c r="B598" s="9" t="n">
        <v>46021</v>
      </c>
      <c r="C598" s="7" t="inlineStr">
        <is>
          <t>Invoice</t>
        </is>
      </c>
      <c r="D598" s="7" t="inlineStr">
        <is>
          <t>SUP011</t>
        </is>
      </c>
      <c r="E598" s="7">
        <f>IF(E598="","Unknown Supplier",TRIM(E598))</f>
        <v/>
      </c>
      <c r="F598" s="7">
        <f>IF(F598="","Unclassified",TRIM(F598))</f>
        <v/>
      </c>
      <c r="G598" s="7" t="inlineStr">
        <is>
          <t>Print advertising</t>
        </is>
      </c>
      <c r="H598" s="7" t="inlineStr">
        <is>
          <t>Technology</t>
        </is>
      </c>
      <c r="I598" s="7" t="inlineStr">
        <is>
          <t>South</t>
        </is>
      </c>
      <c r="J598" s="7" t="n">
        <v>110</v>
      </c>
      <c r="K598" s="7" t="n">
        <v>146.65</v>
      </c>
      <c r="L598" s="7" t="n">
        <v>16131.24</v>
      </c>
      <c r="M598" s="7" t="inlineStr">
        <is>
          <t>Pending</t>
        </is>
      </c>
      <c r="N598" s="7">
        <f>IF(OR(E598="Apex Office Supplies",E598="Apex Office Supply Ltd"),"Apex Office Supplies",IF(OR(E598="Northstar IT Services",E598="North Star IT Svc"),"Northstar IT Services",IF(OR(E598="Metro Logistics",E598="Metro Logistics Pvt Ltd"),"Metro Logistics",E598)))</f>
        <v/>
      </c>
      <c r="O598" s="7">
        <f>IF(AND(ISNUMBER(L598),L598&gt;0),"Valid","Review")</f>
        <v/>
      </c>
      <c r="P598" s="7">
        <f>IF(OR(E598="",F598="",NOT(ISNUMBER(L598))),"Check Missing/Invalid Data","OK")</f>
        <v/>
      </c>
    </row>
    <row r="599">
      <c r="A599" s="7" t="inlineStr">
        <is>
          <t>PO-00473</t>
        </is>
      </c>
      <c r="B599" s="9" t="n">
        <v>46021</v>
      </c>
      <c r="C599" s="7" t="inlineStr">
        <is>
          <t>Goods Receipt</t>
        </is>
      </c>
      <c r="D599" s="7" t="inlineStr">
        <is>
          <t>SUP003</t>
        </is>
      </c>
      <c r="E599" s="7">
        <f>IF(E599="","Unknown Supplier",TRIM(E599))</f>
        <v/>
      </c>
      <c r="F599" s="7">
        <f>IF(F599="","Unclassified",TRIM(F599))</f>
        <v/>
      </c>
      <c r="G599" s="7" t="inlineStr">
        <is>
          <t>Audit support</t>
        </is>
      </c>
      <c r="H599" s="7" t="inlineStr">
        <is>
          <t>Technology</t>
        </is>
      </c>
      <c r="I599" s="7" t="inlineStr">
        <is>
          <t>West</t>
        </is>
      </c>
      <c r="J599" s="7" t="n">
        <v>100</v>
      </c>
      <c r="K599" s="7" t="n">
        <v>183.47</v>
      </c>
      <c r="L599" s="7" t="n">
        <v>18346.77</v>
      </c>
      <c r="M599" s="7" t="inlineStr">
        <is>
          <t>Overdue</t>
        </is>
      </c>
      <c r="N599" s="7">
        <f>IF(OR(E599="Apex Office Supplies",E599="Apex Office Supply Ltd"),"Apex Office Supplies",IF(OR(E599="Northstar IT Services",E599="North Star IT Svc"),"Northstar IT Services",IF(OR(E599="Metro Logistics",E599="Metro Logistics Pvt Ltd"),"Metro Logistics",E599)))</f>
        <v/>
      </c>
      <c r="O599" s="7">
        <f>IF(AND(ISNUMBER(L599),L599&gt;0),"Valid","Review")</f>
        <v/>
      </c>
      <c r="P599" s="7">
        <f>IF(OR(E599="",F599="",NOT(ISNUMBER(L599))),"Check Missing/Invalid Data","OK")</f>
        <v/>
      </c>
    </row>
    <row r="600">
      <c r="A600" s="7" t="inlineStr">
        <is>
          <t>PO-00356</t>
        </is>
      </c>
      <c r="B600" s="9" t="n">
        <v>46022</v>
      </c>
      <c r="C600" s="7" t="inlineStr">
        <is>
          <t>Goods Receipt</t>
        </is>
      </c>
      <c r="D600" s="7" t="inlineStr">
        <is>
          <t>SUP005</t>
        </is>
      </c>
      <c r="E600" s="7">
        <f>IF(E600="","Unknown Supplier",TRIM(E600))</f>
        <v/>
      </c>
      <c r="F600" s="7">
        <f>IF(F600="","Unclassified",TRIM(F600))</f>
        <v/>
      </c>
      <c r="G600" s="7" t="inlineStr">
        <is>
          <t>Courier services</t>
        </is>
      </c>
      <c r="H600" s="7" t="inlineStr">
        <is>
          <t>Technology</t>
        </is>
      </c>
      <c r="I600" s="7" t="inlineStr">
        <is>
          <t>West</t>
        </is>
      </c>
      <c r="J600" s="7" t="n">
        <v>115</v>
      </c>
      <c r="K600" s="7" t="n">
        <v>245.28</v>
      </c>
      <c r="L600" s="7" t="n">
        <v>28207.06</v>
      </c>
      <c r="M600" s="7" t="inlineStr">
        <is>
          <t>Overdue</t>
        </is>
      </c>
      <c r="N600" s="7">
        <f>IF(OR(E600="Apex Office Supplies",E600="Apex Office Supply Ltd"),"Apex Office Supplies",IF(OR(E600="Northstar IT Services",E600="North Star IT Svc"),"Northstar IT Services",IF(OR(E600="Metro Logistics",E600="Metro Logistics Pvt Ltd"),"Metro Logistics",E600)))</f>
        <v/>
      </c>
      <c r="O600" s="7">
        <f>IF(AND(ISNUMBER(L600),L600&gt;0),"Valid","Review")</f>
        <v/>
      </c>
      <c r="P600" s="7">
        <f>IF(OR(E600="",F600="",NOT(ISNUMBER(L600))),"Check Missing/Invalid Data","OK")</f>
        <v/>
      </c>
    </row>
    <row r="601">
      <c r="A601" s="7" t="inlineStr">
        <is>
          <t>PO-00347</t>
        </is>
      </c>
      <c r="B601" s="9" t="n">
        <v>46022</v>
      </c>
      <c r="C601" s="7" t="inlineStr">
        <is>
          <t>Invoice</t>
        </is>
      </c>
      <c r="D601" s="7" t="inlineStr">
        <is>
          <t>SUP010</t>
        </is>
      </c>
      <c r="E601" s="7">
        <f>IF(E601="","Unknown Supplier",TRIM(E601))</f>
        <v/>
      </c>
      <c r="F601" s="7">
        <f>IF(F601="","Unclassified",TRIM(F601))</f>
        <v/>
      </c>
      <c r="G601" s="7" t="inlineStr">
        <is>
          <t>Electricity</t>
        </is>
      </c>
      <c r="H601" s="7" t="inlineStr">
        <is>
          <t>Sales</t>
        </is>
      </c>
      <c r="I601" s="7" t="inlineStr">
        <is>
          <t>South</t>
        </is>
      </c>
      <c r="J601" s="7" t="n">
        <v>66</v>
      </c>
      <c r="K601" s="7" t="n">
        <v>136.23</v>
      </c>
      <c r="L601" s="7" t="n">
        <v>8991.120000000001</v>
      </c>
      <c r="M601" s="7" t="inlineStr">
        <is>
          <t>Pending</t>
        </is>
      </c>
      <c r="N601" s="7">
        <f>IF(OR(E601="Apex Office Supplies",E601="Apex Office Supply Ltd"),"Apex Office Supplies",IF(OR(E601="Northstar IT Services",E601="North Star IT Svc"),"Northstar IT Services",IF(OR(E601="Metro Logistics",E601="Metro Logistics Pvt Ltd"),"Metro Logistics",E601)))</f>
        <v/>
      </c>
      <c r="O601" s="7">
        <f>IF(AND(ISNUMBER(L601),L601&gt;0),"Valid","Review")</f>
        <v/>
      </c>
      <c r="P601" s="7">
        <f>IF(OR(E601="",F601="",NOT(ISNUMBER(L601))),"Check Missing/Invalid Data","OK")</f>
        <v/>
      </c>
    </row>
  </sheetData>
  <autoFilter ref="A1:P6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1" customWidth="1" min="3" max="3"/>
    <col width="16" customWidth="1" min="4" max="4"/>
    <col width="23" customWidth="1" min="5" max="5"/>
    <col width="16" customWidth="1" min="6" max="6"/>
    <col width="20" customWidth="1" min="7" max="7"/>
    <col width="16" customWidth="1" min="8" max="8"/>
  </cols>
  <sheetData>
    <row r="1" ht="28" customHeight="1">
      <c r="A1" s="10" t="inlineStr">
        <is>
          <t>Normalized Supplier</t>
        </is>
      </c>
      <c r="B1" s="10" t="inlineStr">
        <is>
          <t>Total Spend (USD)</t>
        </is>
      </c>
      <c r="C1" s="10" t="inlineStr">
        <is>
          <t>Transaction Count</t>
        </is>
      </c>
      <c r="D1" s="10" t="inlineStr">
        <is>
          <t>Supplier Concentration</t>
        </is>
      </c>
    </row>
    <row r="2">
      <c r="A2" s="11" t="inlineStr">
        <is>
          <t>Apex Office Supplies</t>
        </is>
      </c>
      <c r="B2" s="12">
        <f>SUMIF(Clean_Data!$N:$N,A2,Clean_Data!$L:$L)</f>
        <v/>
      </c>
      <c r="C2" s="11">
        <f>COUNTIF(Clean_Data!$N:$N,A2)</f>
        <v/>
      </c>
      <c r="D2" s="13">
        <f>IFERROR(B2/SUM($B$2:$B$11),0)</f>
        <v/>
      </c>
    </row>
    <row r="3">
      <c r="A3" s="11" t="inlineStr">
        <is>
          <t>Northstar IT Services</t>
        </is>
      </c>
      <c r="B3" s="12">
        <f>SUMIF(Clean_Data!$N:$N,A3,Clean_Data!$L:$L)</f>
        <v/>
      </c>
      <c r="C3" s="11">
        <f>COUNTIF(Clean_Data!$N:$N,A3)</f>
        <v/>
      </c>
      <c r="D3" s="13">
        <f>IFERROR(B3/SUM($B$2:$B$11),0)</f>
        <v/>
      </c>
    </row>
    <row r="4">
      <c r="A4" s="11" t="inlineStr">
        <is>
          <t>Metro Logistics</t>
        </is>
      </c>
      <c r="B4" s="12">
        <f>SUMIF(Clean_Data!$N:$N,A4,Clean_Data!$L:$L)</f>
        <v/>
      </c>
      <c r="C4" s="11">
        <f>COUNTIF(Clean_Data!$N:$N,A4)</f>
        <v/>
      </c>
      <c r="D4" s="13">
        <f>IFERROR(B4/SUM($B$2:$B$11),0)</f>
        <v/>
      </c>
    </row>
    <row r="5">
      <c r="A5" s="11" t="inlineStr">
        <is>
          <t>BrightClean Facilities</t>
        </is>
      </c>
      <c r="B5" s="12">
        <f>SUMIF(Clean_Data!$N:$N,A5,Clean_Data!$L:$L)</f>
        <v/>
      </c>
      <c r="C5" s="11">
        <f>COUNTIF(Clean_Data!$N:$N,A5)</f>
        <v/>
      </c>
      <c r="D5" s="13">
        <f>IFERROR(B5/SUM($B$2:$B$11),0)</f>
        <v/>
      </c>
    </row>
    <row r="6">
      <c r="A6" s="11" t="inlineStr">
        <is>
          <t>GreenLeaf Packaging</t>
        </is>
      </c>
      <c r="B6" s="12">
        <f>SUMIF(Clean_Data!$N:$N,A6,Clean_Data!$L:$L)</f>
        <v/>
      </c>
      <c r="C6" s="11">
        <f>COUNTIF(Clean_Data!$N:$N,A6)</f>
        <v/>
      </c>
      <c r="D6" s="13">
        <f>IFERROR(B6/SUM($B$2:$B$11),0)</f>
        <v/>
      </c>
    </row>
    <row r="7">
      <c r="A7" s="11" t="inlineStr">
        <is>
          <t>Summit Consulting</t>
        </is>
      </c>
      <c r="B7" s="12">
        <f>SUMIF(Clean_Data!$N:$N,A7,Clean_Data!$L:$L)</f>
        <v/>
      </c>
      <c r="C7" s="11">
        <f>COUNTIF(Clean_Data!$N:$N,A7)</f>
        <v/>
      </c>
      <c r="D7" s="13">
        <f>IFERROR(B7/SUM($B$2:$B$11),0)</f>
        <v/>
      </c>
    </row>
    <row r="8">
      <c r="A8" s="11" t="inlineStr">
        <is>
          <t>Urban Energy Solutions</t>
        </is>
      </c>
      <c r="B8" s="12">
        <f>SUMIF(Clean_Data!$N:$N,A8,Clean_Data!$L:$L)</f>
        <v/>
      </c>
      <c r="C8" s="11">
        <f>COUNTIF(Clean_Data!$N:$N,A8)</f>
        <v/>
      </c>
      <c r="D8" s="13">
        <f>IFERROR(B8/SUM($B$2:$B$11),0)</f>
        <v/>
      </c>
    </row>
    <row r="9">
      <c r="A9" s="11" t="inlineStr">
        <is>
          <t>Vertex Marketing</t>
        </is>
      </c>
      <c r="B9" s="12">
        <f>SUMIF(Clean_Data!$N:$N,A9,Clean_Data!$L:$L)</f>
        <v/>
      </c>
      <c r="C9" s="11">
        <f>COUNTIF(Clean_Data!$N:$N,A9)</f>
        <v/>
      </c>
      <c r="D9" s="13">
        <f>IFERROR(B9/SUM($B$2:$B$11),0)</f>
        <v/>
      </c>
    </row>
    <row r="10">
      <c r="A10" s="11" t="inlineStr">
        <is>
          <t>Pioneer Hardware</t>
        </is>
      </c>
      <c r="B10" s="12">
        <f>SUMIF(Clean_Data!$N:$N,A10,Clean_Data!$L:$L)</f>
        <v/>
      </c>
      <c r="C10" s="11">
        <f>COUNTIF(Clean_Data!$N:$N,A10)</f>
        <v/>
      </c>
      <c r="D10" s="13">
        <f>IFERROR(B10/SUM($B$2:$B$11),0)</f>
        <v/>
      </c>
    </row>
    <row r="11">
      <c r="A11" s="11" t="inlineStr">
        <is>
          <t>Unknown Supplier</t>
        </is>
      </c>
      <c r="B11" s="12">
        <f>SUMIF(Clean_Data!$N:$N,A11,Clean_Data!$L:$L)</f>
        <v/>
      </c>
      <c r="C11" s="11">
        <f>COUNTIF(Clean_Data!$N:$N,A11)</f>
        <v/>
      </c>
      <c r="D11" s="13">
        <f>IFERROR(B11/SUM($B$2:$B$11),0)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1" customWidth="1" min="3" max="3"/>
    <col width="16" customWidth="1" min="4" max="4"/>
    <col width="23" customWidth="1" min="5" max="5"/>
    <col width="16" customWidth="1" min="6" max="6"/>
    <col width="20" customWidth="1" min="7" max="7"/>
    <col width="16" customWidth="1" min="8" max="8"/>
  </cols>
  <sheetData>
    <row r="1" ht="28" customHeight="1">
      <c r="A1" s="10" t="inlineStr">
        <is>
          <t>Category</t>
        </is>
      </c>
      <c r="B1" s="10" t="inlineStr">
        <is>
          <t>Total Spend (USD)</t>
        </is>
      </c>
      <c r="C1" s="10" t="inlineStr">
        <is>
          <t>Transaction Count</t>
        </is>
      </c>
      <c r="D1" s="10" t="inlineStr">
        <is>
          <t>Spend Share</t>
        </is>
      </c>
    </row>
    <row r="2">
      <c r="A2" s="11" t="inlineStr">
        <is>
          <t>Office Supplies</t>
        </is>
      </c>
      <c r="B2" s="12">
        <f>SUMIF(Clean_Data!$F:$F,A2,Clean_Data!$L:$L)</f>
        <v/>
      </c>
      <c r="C2" s="11">
        <f>COUNTIF(Clean_Data!$F:$F,A2)</f>
        <v/>
      </c>
      <c r="D2" s="13">
        <f>IFERROR(B2/SUM($B$2:$B$10),0)</f>
        <v/>
      </c>
    </row>
    <row r="3">
      <c r="A3" s="11" t="inlineStr">
        <is>
          <t>IT Services</t>
        </is>
      </c>
      <c r="B3" s="12">
        <f>SUMIF(Clean_Data!$F:$F,A3,Clean_Data!$L:$L)</f>
        <v/>
      </c>
      <c r="C3" s="11">
        <f>COUNTIF(Clean_Data!$F:$F,A3)</f>
        <v/>
      </c>
      <c r="D3" s="13">
        <f>IFERROR(B3/SUM($B$2:$B$10),0)</f>
        <v/>
      </c>
    </row>
    <row r="4">
      <c r="A4" s="11" t="inlineStr">
        <is>
          <t>Logistics</t>
        </is>
      </c>
      <c r="B4" s="12">
        <f>SUMIF(Clean_Data!$F:$F,A4,Clean_Data!$L:$L)</f>
        <v/>
      </c>
      <c r="C4" s="11">
        <f>COUNTIF(Clean_Data!$F:$F,A4)</f>
        <v/>
      </c>
      <c r="D4" s="13">
        <f>IFERROR(B4/SUM($B$2:$B$10),0)</f>
        <v/>
      </c>
    </row>
    <row r="5">
      <c r="A5" s="11" t="inlineStr">
        <is>
          <t>Facilities</t>
        </is>
      </c>
      <c r="B5" s="12">
        <f>SUMIF(Clean_Data!$F:$F,A5,Clean_Data!$L:$L)</f>
        <v/>
      </c>
      <c r="C5" s="11">
        <f>COUNTIF(Clean_Data!$F:$F,A5)</f>
        <v/>
      </c>
      <c r="D5" s="13">
        <f>IFERROR(B5/SUM($B$2:$B$10),0)</f>
        <v/>
      </c>
    </row>
    <row r="6">
      <c r="A6" s="11" t="inlineStr">
        <is>
          <t>Packaging</t>
        </is>
      </c>
      <c r="B6" s="12">
        <f>SUMIF(Clean_Data!$F:$F,A6,Clean_Data!$L:$L)</f>
        <v/>
      </c>
      <c r="C6" s="11">
        <f>COUNTIF(Clean_Data!$F:$F,A6)</f>
        <v/>
      </c>
      <c r="D6" s="13">
        <f>IFERROR(B6/SUM($B$2:$B$10),0)</f>
        <v/>
      </c>
    </row>
    <row r="7">
      <c r="A7" s="11" t="inlineStr">
        <is>
          <t>Professional Services</t>
        </is>
      </c>
      <c r="B7" s="12">
        <f>SUMIF(Clean_Data!$F:$F,A7,Clean_Data!$L:$L)</f>
        <v/>
      </c>
      <c r="C7" s="11">
        <f>COUNTIF(Clean_Data!$F:$F,A7)</f>
        <v/>
      </c>
      <c r="D7" s="13">
        <f>IFERROR(B7/SUM($B$2:$B$10),0)</f>
        <v/>
      </c>
    </row>
    <row r="8">
      <c r="A8" s="11" t="inlineStr">
        <is>
          <t>Utilities</t>
        </is>
      </c>
      <c r="B8" s="12">
        <f>SUMIF(Clean_Data!$F:$F,A8,Clean_Data!$L:$L)</f>
        <v/>
      </c>
      <c r="C8" s="11">
        <f>COUNTIF(Clean_Data!$F:$F,A8)</f>
        <v/>
      </c>
      <c r="D8" s="13">
        <f>IFERROR(B8/SUM($B$2:$B$10),0)</f>
        <v/>
      </c>
    </row>
    <row r="9">
      <c r="A9" s="11" t="inlineStr">
        <is>
          <t>Marketing</t>
        </is>
      </c>
      <c r="B9" s="12">
        <f>SUMIF(Clean_Data!$F:$F,A9,Clean_Data!$L:$L)</f>
        <v/>
      </c>
      <c r="C9" s="11">
        <f>COUNTIF(Clean_Data!$F:$F,A9)</f>
        <v/>
      </c>
      <c r="D9" s="13">
        <f>IFERROR(B9/SUM($B$2:$B$10),0)</f>
        <v/>
      </c>
    </row>
    <row r="10">
      <c r="A10" s="11" t="inlineStr">
        <is>
          <t>Maintenance</t>
        </is>
      </c>
      <c r="B10" s="12">
        <f>SUMIF(Clean_Data!$F:$F,A10,Clean_Data!$L:$L)</f>
        <v/>
      </c>
      <c r="C10" s="11">
        <f>COUNTIF(Clean_Data!$F:$F,A10)</f>
        <v/>
      </c>
      <c r="D10" s="13">
        <f>IFERROR(B10/SUM($B$2:$B$10),0)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1" customWidth="1" min="3" max="3"/>
    <col width="16" customWidth="1" min="4" max="4"/>
    <col width="23" customWidth="1" min="5" max="5"/>
    <col width="16" customWidth="1" min="6" max="6"/>
    <col width="20" customWidth="1" min="7" max="7"/>
    <col width="16" customWidth="1" min="8" max="8"/>
  </cols>
  <sheetData>
    <row r="1" ht="28" customHeight="1">
      <c r="A1" s="10" t="inlineStr">
        <is>
          <t>Month</t>
        </is>
      </c>
      <c r="B1" s="10" t="inlineStr">
        <is>
          <t>Total Spend (USD)</t>
        </is>
      </c>
      <c r="C1" s="10" t="inlineStr">
        <is>
          <t>Transaction Count</t>
        </is>
      </c>
    </row>
    <row r="2">
      <c r="A2" s="14" t="n">
        <v>45658</v>
      </c>
      <c r="B2" s="12">
        <f>SUMIFS(Clean_Data!$L:$L,Clean_Data!$B:$B,"&gt;="&amp;A2,Clean_Data!$B:$B,"&lt;"&amp;EDATE(A2,1))</f>
        <v/>
      </c>
      <c r="C2" s="11">
        <f>COUNTIFS(Clean_Data!$B:$B,"&gt;="&amp;A2,Clean_Data!$B:$B,"&lt;"&amp;EDATE(A2,1))</f>
        <v/>
      </c>
    </row>
    <row r="3">
      <c r="A3" s="14" t="n">
        <v>45689</v>
      </c>
      <c r="B3" s="12">
        <f>SUMIFS(Clean_Data!$L:$L,Clean_Data!$B:$B,"&gt;="&amp;A3,Clean_Data!$B:$B,"&lt;"&amp;EDATE(A3,1))</f>
        <v/>
      </c>
      <c r="C3" s="11">
        <f>COUNTIFS(Clean_Data!$B:$B,"&gt;="&amp;A3,Clean_Data!$B:$B,"&lt;"&amp;EDATE(A3,1))</f>
        <v/>
      </c>
    </row>
    <row r="4">
      <c r="A4" s="14" t="n">
        <v>45717</v>
      </c>
      <c r="B4" s="12">
        <f>SUMIFS(Clean_Data!$L:$L,Clean_Data!$B:$B,"&gt;="&amp;A4,Clean_Data!$B:$B,"&lt;"&amp;EDATE(A4,1))</f>
        <v/>
      </c>
      <c r="C4" s="11">
        <f>COUNTIFS(Clean_Data!$B:$B,"&gt;="&amp;A4,Clean_Data!$B:$B,"&lt;"&amp;EDATE(A4,1))</f>
        <v/>
      </c>
    </row>
    <row r="5">
      <c r="A5" s="14" t="n">
        <v>45748</v>
      </c>
      <c r="B5" s="12">
        <f>SUMIFS(Clean_Data!$L:$L,Clean_Data!$B:$B,"&gt;="&amp;A5,Clean_Data!$B:$B,"&lt;"&amp;EDATE(A5,1))</f>
        <v/>
      </c>
      <c r="C5" s="11">
        <f>COUNTIFS(Clean_Data!$B:$B,"&gt;="&amp;A5,Clean_Data!$B:$B,"&lt;"&amp;EDATE(A5,1))</f>
        <v/>
      </c>
    </row>
    <row r="6">
      <c r="A6" s="14" t="n">
        <v>45778</v>
      </c>
      <c r="B6" s="12">
        <f>SUMIFS(Clean_Data!$L:$L,Clean_Data!$B:$B,"&gt;="&amp;A6,Clean_Data!$B:$B,"&lt;"&amp;EDATE(A6,1))</f>
        <v/>
      </c>
      <c r="C6" s="11">
        <f>COUNTIFS(Clean_Data!$B:$B,"&gt;="&amp;A6,Clean_Data!$B:$B,"&lt;"&amp;EDATE(A6,1))</f>
        <v/>
      </c>
    </row>
    <row r="7">
      <c r="A7" s="14" t="n">
        <v>45809</v>
      </c>
      <c r="B7" s="12">
        <f>SUMIFS(Clean_Data!$L:$L,Clean_Data!$B:$B,"&gt;="&amp;A7,Clean_Data!$B:$B,"&lt;"&amp;EDATE(A7,1))</f>
        <v/>
      </c>
      <c r="C7" s="11">
        <f>COUNTIFS(Clean_Data!$B:$B,"&gt;="&amp;A7,Clean_Data!$B:$B,"&lt;"&amp;EDATE(A7,1))</f>
        <v/>
      </c>
    </row>
    <row r="8">
      <c r="A8" s="14" t="n">
        <v>45839</v>
      </c>
      <c r="B8" s="12">
        <f>SUMIFS(Clean_Data!$L:$L,Clean_Data!$B:$B,"&gt;="&amp;A8,Clean_Data!$B:$B,"&lt;"&amp;EDATE(A8,1))</f>
        <v/>
      </c>
      <c r="C8" s="11">
        <f>COUNTIFS(Clean_Data!$B:$B,"&gt;="&amp;A8,Clean_Data!$B:$B,"&lt;"&amp;EDATE(A8,1))</f>
        <v/>
      </c>
    </row>
    <row r="9">
      <c r="A9" s="14" t="n">
        <v>45870</v>
      </c>
      <c r="B9" s="12">
        <f>SUMIFS(Clean_Data!$L:$L,Clean_Data!$B:$B,"&gt;="&amp;A9,Clean_Data!$B:$B,"&lt;"&amp;EDATE(A9,1))</f>
        <v/>
      </c>
      <c r="C9" s="11">
        <f>COUNTIFS(Clean_Data!$B:$B,"&gt;="&amp;A9,Clean_Data!$B:$B,"&lt;"&amp;EDATE(A9,1))</f>
        <v/>
      </c>
    </row>
    <row r="10">
      <c r="A10" s="14" t="n">
        <v>45901</v>
      </c>
      <c r="B10" s="12">
        <f>SUMIFS(Clean_Data!$L:$L,Clean_Data!$B:$B,"&gt;="&amp;A10,Clean_Data!$B:$B,"&lt;"&amp;EDATE(A10,1))</f>
        <v/>
      </c>
      <c r="C10" s="11">
        <f>COUNTIFS(Clean_Data!$B:$B,"&gt;="&amp;A10,Clean_Data!$B:$B,"&lt;"&amp;EDATE(A10,1))</f>
        <v/>
      </c>
    </row>
    <row r="11">
      <c r="A11" s="14" t="n">
        <v>45931</v>
      </c>
      <c r="B11" s="12">
        <f>SUMIFS(Clean_Data!$L:$L,Clean_Data!$B:$B,"&gt;="&amp;A11,Clean_Data!$B:$B,"&lt;"&amp;EDATE(A11,1))</f>
        <v/>
      </c>
      <c r="C11" s="11">
        <f>COUNTIFS(Clean_Data!$B:$B,"&gt;="&amp;A11,Clean_Data!$B:$B,"&lt;"&amp;EDATE(A11,1))</f>
        <v/>
      </c>
    </row>
    <row r="12">
      <c r="A12" s="14" t="n">
        <v>45962</v>
      </c>
      <c r="B12" s="12">
        <f>SUMIFS(Clean_Data!$L:$L,Clean_Data!$B:$B,"&gt;="&amp;A12,Clean_Data!$B:$B,"&lt;"&amp;EDATE(A12,1))</f>
        <v/>
      </c>
      <c r="C12" s="11">
        <f>COUNTIFS(Clean_Data!$B:$B,"&gt;="&amp;A12,Clean_Data!$B:$B,"&lt;"&amp;EDATE(A12,1))</f>
        <v/>
      </c>
    </row>
    <row r="13">
      <c r="A13" s="14" t="n">
        <v>45992</v>
      </c>
      <c r="B13" s="12">
        <f>SUMIFS(Clean_Data!$L:$L,Clean_Data!$B:$B,"&gt;="&amp;A13,Clean_Data!$B:$B,"&lt;"&amp;EDATE(A13,1))</f>
        <v/>
      </c>
      <c r="C13" s="11">
        <f>COUNTIFS(Clean_Data!$B:$B,"&gt;="&amp;A13,Clean_Data!$B:$B,"&lt;"&amp;EDATE(A13,1))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2026-10-23T09:18:23Z</dcterms:created>
  <dcterms:modified xmlns:dcterms="http://purl.org/dc/terms/" xmlns:xsi="http://www.w3.org/2001/XMLSchema-instance" xsi:type="dcterms:W3CDTF">2026-10-23T09:18:23Z</dcterms:modified>
</cp:coreProperties>
</file>